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kaachen-my.sharepoint.com/personal/rgeci_ukaachen_de/Documents/PhD/R model files/analysis/2024_06_14 Zeynep DILI/data/"/>
    </mc:Choice>
  </mc:AlternateContent>
  <xr:revisionPtr revIDLastSave="1868" documentId="8_{A392652F-30DB-4F9F-B227-34B3D8E80580}" xr6:coauthVersionLast="47" xr6:coauthVersionMax="47" xr10:uidLastSave="{96169B81-4CEC-4EDD-96F7-944991440726}"/>
  <bookViews>
    <workbookView xWindow="-108" yWindow="-108" windowWidth="30936" windowHeight="12456" xr2:uid="{AF43B80F-CA23-46B1-9C4A-44EB46B67CB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7" i="1" l="1"/>
  <c r="D207" i="1"/>
  <c r="B205" i="1"/>
  <c r="D205" i="1"/>
  <c r="B203" i="1"/>
  <c r="D203" i="1"/>
  <c r="B199" i="1"/>
  <c r="D199" i="1"/>
  <c r="D197" i="1"/>
  <c r="B197" i="1"/>
  <c r="B195" i="1"/>
  <c r="D195" i="1"/>
  <c r="B192" i="1"/>
  <c r="D192" i="1"/>
  <c r="B189" i="1"/>
  <c r="D187" i="1"/>
  <c r="B187" i="1"/>
  <c r="D184" i="1"/>
  <c r="B184" i="1"/>
  <c r="D181" i="1"/>
  <c r="B181" i="1"/>
  <c r="B180" i="1"/>
  <c r="D180" i="1"/>
  <c r="D179" i="1"/>
  <c r="B179" i="1"/>
  <c r="D176" i="1"/>
  <c r="B176" i="1"/>
  <c r="B173" i="1"/>
  <c r="D173" i="1"/>
  <c r="B172" i="1"/>
  <c r="D172" i="1"/>
  <c r="B169" i="1"/>
  <c r="D169" i="1"/>
  <c r="B168" i="1"/>
  <c r="D168" i="1"/>
  <c r="B165" i="1"/>
  <c r="D165" i="1"/>
  <c r="B163" i="1"/>
  <c r="D163" i="1"/>
  <c r="B161" i="1"/>
  <c r="D161" i="1"/>
  <c r="B158" i="1"/>
  <c r="D158" i="1"/>
  <c r="D157" i="1"/>
  <c r="B157" i="1"/>
  <c r="B156" i="1"/>
  <c r="D156" i="1"/>
  <c r="B155" i="1"/>
  <c r="D155" i="1"/>
  <c r="D152" i="1"/>
  <c r="B152" i="1"/>
  <c r="B151" i="1"/>
  <c r="D151" i="1"/>
  <c r="D149" i="1"/>
  <c r="B149" i="1"/>
  <c r="D147" i="1"/>
  <c r="B147" i="1"/>
  <c r="D144" i="1"/>
  <c r="B144" i="1"/>
  <c r="B143" i="1"/>
  <c r="D143" i="1"/>
  <c r="D140" i="1"/>
  <c r="B140" i="1"/>
  <c r="B137" i="1"/>
  <c r="D137" i="1"/>
  <c r="D136" i="1"/>
  <c r="B136" i="1"/>
  <c r="B135" i="1"/>
  <c r="D135" i="1"/>
  <c r="D132" i="1"/>
  <c r="B132" i="1"/>
  <c r="D130" i="1"/>
  <c r="B130" i="1"/>
  <c r="D129" i="1"/>
  <c r="B128" i="1"/>
  <c r="D128" i="1"/>
  <c r="D126" i="1"/>
  <c r="B126" i="1"/>
  <c r="D125" i="1"/>
  <c r="B125" i="1"/>
  <c r="B124" i="1"/>
  <c r="D124" i="1"/>
  <c r="D122" i="1"/>
  <c r="B121" i="1"/>
  <c r="D121" i="1"/>
  <c r="D120" i="1"/>
  <c r="B120" i="1"/>
  <c r="B118" i="1"/>
  <c r="D118" i="1"/>
  <c r="D117" i="1"/>
  <c r="B117" i="1"/>
  <c r="D115" i="1"/>
  <c r="B115" i="1"/>
  <c r="B114" i="1"/>
  <c r="D114" i="1"/>
  <c r="B112" i="1"/>
  <c r="D111" i="1"/>
  <c r="B111" i="1"/>
  <c r="D110" i="1"/>
  <c r="B110" i="1"/>
  <c r="B92" i="1"/>
  <c r="B109" i="1"/>
  <c r="D107" i="1"/>
  <c r="B107" i="1"/>
  <c r="B104" i="1"/>
  <c r="D104" i="1"/>
  <c r="B103" i="1"/>
  <c r="D103" i="1"/>
  <c r="B102" i="1"/>
  <c r="B101" i="1"/>
  <c r="D101" i="1"/>
  <c r="B100" i="1"/>
  <c r="D100" i="1"/>
  <c r="D99" i="1"/>
  <c r="B99" i="1"/>
  <c r="B98" i="1"/>
  <c r="D98" i="1"/>
  <c r="D97" i="1"/>
  <c r="B97" i="1"/>
  <c r="B96" i="1"/>
  <c r="D96" i="1"/>
  <c r="D94" i="1"/>
  <c r="B94" i="1"/>
  <c r="B89" i="1"/>
  <c r="D89" i="1"/>
  <c r="B87" i="1"/>
  <c r="D87" i="1"/>
  <c r="D80" i="1"/>
  <c r="B80" i="1"/>
  <c r="B79" i="1"/>
  <c r="B75" i="1"/>
  <c r="D75" i="1"/>
  <c r="D74" i="1"/>
  <c r="B74" i="1"/>
  <c r="D53" i="1"/>
  <c r="D38" i="1"/>
  <c r="B38" i="1"/>
  <c r="B26" i="1"/>
  <c r="D26" i="1"/>
  <c r="D24" i="1"/>
  <c r="B24" i="1"/>
  <c r="B10" i="1"/>
  <c r="D10" i="1"/>
  <c r="B9" i="1"/>
  <c r="D9" i="1"/>
  <c r="D8" i="1"/>
  <c r="B5" i="1"/>
  <c r="D5" i="1"/>
</calcChain>
</file>

<file path=xl/sharedStrings.xml><?xml version="1.0" encoding="utf-8"?>
<sst xmlns="http://schemas.openxmlformats.org/spreadsheetml/2006/main" count="834" uniqueCount="428">
  <si>
    <t>compoundName</t>
  </si>
  <si>
    <t>candesartan</t>
  </si>
  <si>
    <t>Source</t>
  </si>
  <si>
    <t>CmaxValue</t>
  </si>
  <si>
    <t>CmaxUnit</t>
  </si>
  <si>
    <t>DoseValue</t>
  </si>
  <si>
    <t>DoseUnit</t>
  </si>
  <si>
    <t>https://pubmed.ncbi.nlm.nih.gov/9331000</t>
  </si>
  <si>
    <t>ng/ml</t>
  </si>
  <si>
    <t>mg</t>
  </si>
  <si>
    <t>sunitinib</t>
  </si>
  <si>
    <t>cyanocobalamin</t>
  </si>
  <si>
    <t>pg/ml</t>
  </si>
  <si>
    <t>https://pubmed.ncbi.nlm.nih.gov/21722960/</t>
  </si>
  <si>
    <t>Mercaptopurine</t>
  </si>
  <si>
    <t>https://pubmed.ncbi.nlm.nih.gov/32519032/</t>
  </si>
  <si>
    <t>nmol/l</t>
  </si>
  <si>
    <t>Aspirin</t>
  </si>
  <si>
    <t>mg/l</t>
  </si>
  <si>
    <t>https://pubmed.ncbi.nlm.nih.gov/7093110/</t>
  </si>
  <si>
    <t xml:space="preserve">Phenazopyridine </t>
  </si>
  <si>
    <t>https://pubmed.ncbi.nlm.nih.gov/15900475/</t>
  </si>
  <si>
    <t>Betaine</t>
  </si>
  <si>
    <t>mmol/l</t>
  </si>
  <si>
    <t>https://pubmed.ncbi.nlm.nih.gov/12534635/</t>
  </si>
  <si>
    <t>Aminosalicylic Acid</t>
  </si>
  <si>
    <t>µg/ml</t>
  </si>
  <si>
    <t>https://pubmed.ncbi.nlm.nih.gov/2369807/</t>
  </si>
  <si>
    <t>µg/l</t>
  </si>
  <si>
    <t>Nefazodone</t>
  </si>
  <si>
    <t>https://pubmed.ncbi.nlm.nih.gov/9342502/</t>
  </si>
  <si>
    <t>tolterodine</t>
  </si>
  <si>
    <t>https://pubmed.ncbi.nlm.nih.gov/9447563/</t>
  </si>
  <si>
    <t>Zimelidine</t>
  </si>
  <si>
    <t>https://pubmed.ncbi.nlm.nih.gov/6455297/</t>
  </si>
  <si>
    <t>Erythromycin</t>
  </si>
  <si>
    <t>https://pubmed.ncbi.nlm.nih.gov/2253666/</t>
  </si>
  <si>
    <t>Nortriptyline</t>
  </si>
  <si>
    <t>https://pubmed.ncbi.nlm.nih.gov/4655685/</t>
  </si>
  <si>
    <t>Perhexiline</t>
  </si>
  <si>
    <t>https://pubmed.ncbi.nlm.nih.gov/3946097/</t>
  </si>
  <si>
    <t>Procyclidine</t>
  </si>
  <si>
    <t>https://pubmed.ncbi.nlm.nih.gov/3987788/</t>
  </si>
  <si>
    <t>Deferasirox</t>
  </si>
  <si>
    <t>µmol/l</t>
  </si>
  <si>
    <t>https://pubmed.ncbi.nlm.nih.gov/20097723/</t>
  </si>
  <si>
    <t>Dasatinib</t>
  </si>
  <si>
    <t>https://pubmed.ncbi.nlm.nih.gov/37789147/</t>
  </si>
  <si>
    <t>calcitriol</t>
  </si>
  <si>
    <t>https://pubmed.ncbi.nlm.nih.gov/19427587/</t>
  </si>
  <si>
    <t>Reserpine</t>
  </si>
  <si>
    <t>https://pubmed.ncbi.nlm.nih.gov/27037980/</t>
  </si>
  <si>
    <t>norethindrone</t>
  </si>
  <si>
    <t>https://pubmed.ncbi.nlm.nih.gov/9262934/</t>
  </si>
  <si>
    <t>dutasteride</t>
  </si>
  <si>
    <t>https://pubmed.ncbi.nlm.nih.gov/27356530/</t>
  </si>
  <si>
    <t>midazolam</t>
  </si>
  <si>
    <t>https://pubmed.ncbi.nlm.nih.gov/6138080/</t>
  </si>
  <si>
    <t>Itraconazole</t>
  </si>
  <si>
    <t>https://pubmed.ncbi.nlm.nih.gov/2561187/</t>
  </si>
  <si>
    <t>Alpidem</t>
  </si>
  <si>
    <t>https://pubmed.ncbi.nlm.nih.gov/2883214/</t>
  </si>
  <si>
    <t>tolvaptan</t>
  </si>
  <si>
    <t>https://pubmed.ncbi.nlm.nih.gov/22585285/</t>
  </si>
  <si>
    <t>dronedarone</t>
  </si>
  <si>
    <t>https://pubmed.ncbi.nlm.nih.gov/39114542/</t>
  </si>
  <si>
    <t>propantheline</t>
  </si>
  <si>
    <t>https://pubmed.ncbi.nlm.nih.gov/7389749/</t>
  </si>
  <si>
    <t>dicyclomine</t>
  </si>
  <si>
    <t>https://www.accessdata.fda.gov/drugsatfda_docs/anda/99/40230_Dicyclomine%20Hydrochloride_Bioeqr.pdf</t>
  </si>
  <si>
    <t>metyrapone</t>
  </si>
  <si>
    <t>https://www.accessdata.fda.gov/drugsatfda_docs/label/2013/012911Orig1s033lbl.pdf</t>
  </si>
  <si>
    <t>isoxsuprine</t>
  </si>
  <si>
    <t>https://pubmed.ncbi.nlm.nih.gov/19856793/</t>
  </si>
  <si>
    <t>Glibenclamide</t>
  </si>
  <si>
    <t>https://pubmed.ncbi.nlm.nih.gov/2116159/</t>
  </si>
  <si>
    <t>mifepristone</t>
  </si>
  <si>
    <t>https://pubmed.ncbi.nlm.nih.gov/3654927/</t>
  </si>
  <si>
    <t>irbesartan</t>
  </si>
  <si>
    <t>https://pubmed.ncbi.nlm.nih.gov/9549663/</t>
  </si>
  <si>
    <t>nelfinavir</t>
  </si>
  <si>
    <t>https://pubmed.ncbi.nlm.nih.gov/9397180/</t>
  </si>
  <si>
    <t>repaglinide</t>
  </si>
  <si>
    <t>https://pubmed.ncbi.nlm.nih.gov/12083976/</t>
  </si>
  <si>
    <t>thioridazine</t>
  </si>
  <si>
    <t>https://pubmed.ncbi.nlm.nih.gov/2600782/</t>
  </si>
  <si>
    <t>rifabutin</t>
  </si>
  <si>
    <t>https://pubmed.ncbi.nlm.nih.gov/1330396/</t>
  </si>
  <si>
    <t>isradipine</t>
  </si>
  <si>
    <t>https://pubmed.ncbi.nlm.nih.gov/2965165/</t>
  </si>
  <si>
    <t>rabeprazole</t>
  </si>
  <si>
    <t>https://pubmed.ncbi.nlm.nih.gov/32711578/</t>
  </si>
  <si>
    <t>chlordiazepoxide</t>
  </si>
  <si>
    <t>https://pubmed.ncbi.nlm.nih.gov/2762375/</t>
  </si>
  <si>
    <t>ezetimibe</t>
  </si>
  <si>
    <t>https://pubmed.ncbi.nlm.nih.gov/14571304/</t>
  </si>
  <si>
    <t>cyclobenzaprine</t>
  </si>
  <si>
    <t>https://pubmed.ncbi.nlm.nih.gov/24151591/</t>
  </si>
  <si>
    <t>cloxacillin</t>
  </si>
  <si>
    <t>dicloxacillin</t>
  </si>
  <si>
    <t>https://pubmed.ncbi.nlm.nih.gov/1277730/</t>
  </si>
  <si>
    <t>bendroflumethiazide</t>
  </si>
  <si>
    <t>https://pubmed.ncbi.nlm.nih.gov/7310642/</t>
  </si>
  <si>
    <t>mycophenolate mofetil</t>
  </si>
  <si>
    <t>https://pubmed.ncbi.nlm.nih.gov/9646007/</t>
  </si>
  <si>
    <t>mesalazine</t>
  </si>
  <si>
    <t>https://pubmed.ncbi.nlm.nih.gov/3557190/</t>
  </si>
  <si>
    <t>melphalan</t>
  </si>
  <si>
    <t>https://pubmed.ncbi.nlm.nih.gov/2737222/</t>
  </si>
  <si>
    <t>https://pubmed.ncbi.nlm.nih.gov/22864379/</t>
  </si>
  <si>
    <t>phytonadione</t>
  </si>
  <si>
    <t>erlotinib</t>
  </si>
  <si>
    <t>https://pubmed.ncbi.nlm.nih.gov/16890575/</t>
  </si>
  <si>
    <t>ivermectin</t>
  </si>
  <si>
    <t>https://pubmed.ncbi.nlm.nih.gov/18446504/</t>
  </si>
  <si>
    <t>sirolimus</t>
  </si>
  <si>
    <t>https://pubmed.ncbi.nlm.nih.gov/11034258/</t>
  </si>
  <si>
    <t>Donepezil</t>
  </si>
  <si>
    <t>https://pubmed.ncbi.nlm.nih.gov/20422942/</t>
  </si>
  <si>
    <t>Lovastatin</t>
  </si>
  <si>
    <t>https://pubmed.ncbi.nlm.nih.gov/11831543/</t>
  </si>
  <si>
    <t>felbamate</t>
  </si>
  <si>
    <t>https://pubmed.ncbi.nlm.nih.gov/9278196/</t>
  </si>
  <si>
    <t>Amiloride</t>
  </si>
  <si>
    <t>https://pubmed.ncbi.nlm.nih.gov/9085317/</t>
  </si>
  <si>
    <t>pyridoxine</t>
  </si>
  <si>
    <t>https://pubmed.ncbi.nlm.nih.gov/8598418/</t>
  </si>
  <si>
    <t>phenelzine</t>
  </si>
  <si>
    <t>https://cdn.pfizer.com/pfizercom/products/uspi_nardil.pdf</t>
  </si>
  <si>
    <t>Progesterone</t>
  </si>
  <si>
    <t>https://www.accessdata.fda.gov/drugsatfda_docs/label/2009/019781s013lbl.pdf</t>
  </si>
  <si>
    <t>fluvastatin</t>
  </si>
  <si>
    <t>https://www.accessdata.fda.gov/drugsatfda_docs/label/2007/020261s039,021192s013lbl.pdf</t>
  </si>
  <si>
    <t>isotretinoin</t>
  </si>
  <si>
    <t>https://pubmed.ncbi.nlm.nih.gov/3856501/</t>
  </si>
  <si>
    <t>acitretin</t>
  </si>
  <si>
    <t>https://pubmed.ncbi.nlm.nih.gov/2524207/</t>
  </si>
  <si>
    <t>Glafenine</t>
  </si>
  <si>
    <t>https://pubmed.ncbi.nlm.nih.gov/1358775/</t>
  </si>
  <si>
    <t>indomethacin</t>
  </si>
  <si>
    <t>https://pubmed.ncbi.nlm.nih.gov/7249487/</t>
  </si>
  <si>
    <t>dapsone</t>
  </si>
  <si>
    <t>https://pubmed.ncbi.nlm.nih.gov/3530584/</t>
  </si>
  <si>
    <t>Ticlopidine</t>
  </si>
  <si>
    <t>https://pubmed.ncbi.nlm.nih.gov/8055680/</t>
  </si>
  <si>
    <t>zileuton</t>
  </si>
  <si>
    <t>https://pubmed.ncbi.nlm.nih.gov/8620676/</t>
  </si>
  <si>
    <t>levofloxacin</t>
  </si>
  <si>
    <t>https://pubmed.ncbi.nlm.nih.gov/9068926/</t>
  </si>
  <si>
    <t>felodipine</t>
  </si>
  <si>
    <t>https://pubmed.ncbi.nlm.nih.gov/3327676/</t>
  </si>
  <si>
    <t>Atorvastatin</t>
  </si>
  <si>
    <t>budesonide</t>
  </si>
  <si>
    <t>https://pubmed.ncbi.nlm.nih.gov/35666852/</t>
  </si>
  <si>
    <t>finasteride</t>
  </si>
  <si>
    <t>https://pubmed.ncbi.nlm.nih.gov/8846625/</t>
  </si>
  <si>
    <t>pimozide</t>
  </si>
  <si>
    <t>https://pubmed.ncbi.nlm.nih.gov/3480904/</t>
  </si>
  <si>
    <t>fialuridine</t>
  </si>
  <si>
    <t>https://pubmed.ncbi.nlm.nih.gov/7811032/</t>
  </si>
  <si>
    <t>fenclozic acid</t>
  </si>
  <si>
    <t>https://pubmed.ncbi.nlm.nih.gov/4903318/</t>
  </si>
  <si>
    <t>norethindrone acetate</t>
  </si>
  <si>
    <t xml:space="preserve">https://doi.org/10.1016/j.contraception.2023.110254 </t>
  </si>
  <si>
    <t xml:space="preserve">etidronic acid </t>
  </si>
  <si>
    <t>https://pdf.hres.ca/dpd_pm/00010121.PDF</t>
  </si>
  <si>
    <t>Ciprofibrate</t>
  </si>
  <si>
    <t>https://pubmed.ncbi.nlm.nih.gov/2611089/</t>
  </si>
  <si>
    <t>Bezafibrate</t>
  </si>
  <si>
    <t>Pinacidil</t>
  </si>
  <si>
    <t>https://pubmed.ncbi.nlm.nih.gov/2196168/</t>
  </si>
  <si>
    <t>bepridil</t>
  </si>
  <si>
    <t>https://pubmed.ncbi.nlm.nih.gov/1632105/</t>
  </si>
  <si>
    <t>Cisapride</t>
  </si>
  <si>
    <t>https://pubmed.ncbi.nlm.nih.gov/9589820/</t>
  </si>
  <si>
    <t>Astemizole</t>
  </si>
  <si>
    <t xml:space="preserve"> https://doi.org/10.1002/ddr.430080109</t>
  </si>
  <si>
    <t>ketotifen</t>
  </si>
  <si>
    <t>https://pubmed.ncbi.nlm.nih.gov/1600111/</t>
  </si>
  <si>
    <t>https://pubmed.ncbi.nlm.nih.gov/7319135/</t>
  </si>
  <si>
    <t>Acetaminophen</t>
  </si>
  <si>
    <t>https://pubmed.ncbi.nlm.nih.gov/14571283/</t>
  </si>
  <si>
    <t>Nicardipine</t>
  </si>
  <si>
    <t>https://pubmed.ncbi.nlm.nih.gov/15195691/</t>
  </si>
  <si>
    <t>https://pubmed.ncbi.nlm.nih.gov/11959616/</t>
  </si>
  <si>
    <t>Nisoldipine</t>
  </si>
  <si>
    <t>https://pubmed.ncbi.nlm.nih.gov/3345623/</t>
  </si>
  <si>
    <t>Praziquantel</t>
  </si>
  <si>
    <t>dihydroergotamine</t>
  </si>
  <si>
    <t>Nomifensine</t>
  </si>
  <si>
    <t>https://pubmed.ncbi.nlm.nih.gov/1215449/</t>
  </si>
  <si>
    <t>Flutamide</t>
  </si>
  <si>
    <t>tamoxifen</t>
  </si>
  <si>
    <t>https://pubmed.ncbi.nlm.nih.gov/36836506/</t>
  </si>
  <si>
    <t>Azathioprine</t>
  </si>
  <si>
    <t>https://pubmed.ncbi.nlm.nih.gov/8881811/</t>
  </si>
  <si>
    <t>Amiodarone</t>
  </si>
  <si>
    <t>https://pubmed.ncbi.nlm.nih.gov/6851030/</t>
  </si>
  <si>
    <t>https://pubmed.ncbi.nlm.nih.gov/16314617/</t>
  </si>
  <si>
    <t>diclofenac</t>
  </si>
  <si>
    <t>https://pubmed.ncbi.nlm.nih.gov/9314611/</t>
  </si>
  <si>
    <t>Labetalol</t>
  </si>
  <si>
    <t>https://pubmed.ncbi.nlm.nih.gov/26635159/</t>
  </si>
  <si>
    <t xml:space="preserve">Oxybutynin </t>
  </si>
  <si>
    <t>https://pubmed.ncbi.nlm.nih.gov/3234461/</t>
  </si>
  <si>
    <t>Fluoxetine</t>
  </si>
  <si>
    <t>https://pubmed.ncbi.nlm.nih.gov/6610522/</t>
  </si>
  <si>
    <t>Imipramine</t>
  </si>
  <si>
    <t>https://pubmed.ncbi.nlm.nih.gov/3365915/</t>
  </si>
  <si>
    <t>Verapamil</t>
  </si>
  <si>
    <t>https://pubmed.ncbi.nlm.nih.gov/7060323/</t>
  </si>
  <si>
    <t>Benzbromarone</t>
  </si>
  <si>
    <t>https://pubmed.ncbi.nlm.nih.gov/20962433/</t>
  </si>
  <si>
    <t>carbamazepine</t>
  </si>
  <si>
    <t>https://pubmed.ncbi.nlm.nih.gov/1139857/</t>
  </si>
  <si>
    <t>Valproic Acid</t>
  </si>
  <si>
    <t>https://pmc.ncbi.nlm.nih.gov/articles/PMC1429296/</t>
  </si>
  <si>
    <t>tolcapone</t>
  </si>
  <si>
    <t>https://pubmed.ncbi.nlm.nih.gov/9754991/</t>
  </si>
  <si>
    <t xml:space="preserve">econazole </t>
  </si>
  <si>
    <t>https://pubmed.ncbi.nlm.nih.gov/7314642/</t>
  </si>
  <si>
    <t>Methyldopa</t>
  </si>
  <si>
    <t>https://pubmed.ncbi.nlm.nih.gov/8641329/</t>
  </si>
  <si>
    <t>orphenadrine</t>
  </si>
  <si>
    <t>https://pubmed.ncbi.nlm.nih.gov/7056281/</t>
  </si>
  <si>
    <t>Clotrimazole</t>
  </si>
  <si>
    <t>https://pubmed.ncbi.nlm.nih.gov/4025444/</t>
  </si>
  <si>
    <t>https://pubmed.ncbi.nlm.nih.gov/7093108/</t>
  </si>
  <si>
    <t>https://pubmed.ncbi.nlm.nih.gov/10073738/</t>
  </si>
  <si>
    <t>https://pubmed.ncbi.nlm.nih.gov/8568017/</t>
  </si>
  <si>
    <t>Macitentan</t>
  </si>
  <si>
    <t>https://pubmed.ncbi.nlm.nih.gov/25860376/</t>
  </si>
  <si>
    <t>benztropine</t>
  </si>
  <si>
    <t>https://pubmed.ncbi.nlm.nih.gov/10952768/</t>
  </si>
  <si>
    <t>Tipranavir</t>
  </si>
  <si>
    <t>http://pubmed.ncbi.nlm.nih.gov/15097154/</t>
  </si>
  <si>
    <t>Primidone</t>
  </si>
  <si>
    <t>https://pubmed.ncbi.nlm.nih.gov/6519155/</t>
  </si>
  <si>
    <t>Hydroxyzine</t>
  </si>
  <si>
    <t>https://pubmed.ncbi.nlm.nih.gov/2562944/</t>
  </si>
  <si>
    <t>Clozapine</t>
  </si>
  <si>
    <t>https://pubmed.ncbi.nlm.nih.gov/2194198/</t>
  </si>
  <si>
    <t>Methysergide Maleate</t>
  </si>
  <si>
    <t>https://pubmed.ncbi.nlm.nih.gov/3709634/</t>
  </si>
  <si>
    <t>Phentolamine</t>
  </si>
  <si>
    <t>https://pubmed.ncbi.nlm.nih.gov/24452521/</t>
  </si>
  <si>
    <t>Simvastatin</t>
  </si>
  <si>
    <t>https://pubmed.ncbi.nlm.nih.gov/32095453/</t>
  </si>
  <si>
    <t>Paliperidone</t>
  </si>
  <si>
    <t>https://pubmed.ncbi.nlm.nih.gov/20589922/</t>
  </si>
  <si>
    <t>Ebrotidine</t>
  </si>
  <si>
    <t>https://pubmed.ncbi.nlm.nih.gov/9205758/</t>
  </si>
  <si>
    <t>Terazosin</t>
  </si>
  <si>
    <t>https://pubmed.ncbi.nlm.nih.gov/2872802/</t>
  </si>
  <si>
    <t>Tacrolimus</t>
  </si>
  <si>
    <t>https://pubmed.ncbi.nlm.nih.gov/1689899/</t>
  </si>
  <si>
    <t>Thioguanine</t>
  </si>
  <si>
    <t>pmol/ml</t>
  </si>
  <si>
    <t>https://pubmed.ncbi.nlm.nih.gov/9744770/</t>
  </si>
  <si>
    <t>Entacapone</t>
  </si>
  <si>
    <t>https://pubmed.ncbi.nlm.nih.gov/11294372/</t>
  </si>
  <si>
    <t>diphenhydramine</t>
  </si>
  <si>
    <t>https://pubmed.ncbi.nlm.nih.gov/28967696/</t>
  </si>
  <si>
    <t>Pravastatin</t>
  </si>
  <si>
    <t>https://pubmed.ncbi.nlm.nih.gov/11192473/</t>
  </si>
  <si>
    <t>Estradiol</t>
  </si>
  <si>
    <t>https://pubmed.ncbi.nlm.nih.gov/7324289/</t>
  </si>
  <si>
    <t>Isoniazid</t>
  </si>
  <si>
    <t>https://pubmed.ncbi.nlm.nih.gov/11441323/</t>
  </si>
  <si>
    <t>https://pubmed.ncbi.nlm.nih.gov/6128358/</t>
  </si>
  <si>
    <t>Brompheniramine Maleate</t>
  </si>
  <si>
    <t xml:space="preserve">Guanethidine </t>
  </si>
  <si>
    <t>https://pubmed.ncbi.nlm.nih.gov/7416875/</t>
  </si>
  <si>
    <t>Ketoconazole</t>
  </si>
  <si>
    <t>https://pubmed.ncbi.nlm.nih.gov/3280211/</t>
  </si>
  <si>
    <t>https://pubmed.ncbi.nlm.nih.gov/10496299/</t>
  </si>
  <si>
    <t>Troglitazone</t>
  </si>
  <si>
    <t>Nitrofurantoin</t>
  </si>
  <si>
    <t>https://pubmed.ncbi.nlm.nih.gov/30184207/</t>
  </si>
  <si>
    <t>Nimesulide</t>
  </si>
  <si>
    <t>https://pubmed.ncbi.nlm.nih.gov/9812177/</t>
  </si>
  <si>
    <t>Imatinib</t>
  </si>
  <si>
    <t>https://pubmed.ncbi.nlm.nih.gov/16122278/</t>
  </si>
  <si>
    <t>Saquinavir</t>
  </si>
  <si>
    <t>https://pubmed.ncbi.nlm.nih.gov/11560557/</t>
  </si>
  <si>
    <t>Ritonavir</t>
  </si>
  <si>
    <t>Ciprofloxacin</t>
  </si>
  <si>
    <t>https://pubmed.ncbi.nlm.nih.gov/37850318/</t>
  </si>
  <si>
    <t>Rifampicin</t>
  </si>
  <si>
    <t>https://pubmed.ncbi.nlm.nih.gov/5145008/</t>
  </si>
  <si>
    <t>Zidovudine</t>
  </si>
  <si>
    <t>https://pubmed.ncbi.nlm.nih.gov/2915139/</t>
  </si>
  <si>
    <t>Ranitidine</t>
  </si>
  <si>
    <t>https://pubmed.ncbi.nlm.nih.gov/6329583/</t>
  </si>
  <si>
    <t>Amoxicillin</t>
  </si>
  <si>
    <t>https://pubmed.ncbi.nlm.nih.gov/836010/</t>
  </si>
  <si>
    <t>Fluconazole</t>
  </si>
  <si>
    <t>Sulindac</t>
  </si>
  <si>
    <t>https://pubmed.ncbi.nlm.nih.gov/2184510/</t>
  </si>
  <si>
    <t>https://pubmed.ncbi.nlm.nih.gov/9195115/</t>
  </si>
  <si>
    <t>Sorafenib</t>
  </si>
  <si>
    <t>https://pubmed.ncbi.nlm.nih.gov/15870716/</t>
  </si>
  <si>
    <t>Lamivudine</t>
  </si>
  <si>
    <t>https://pubmed.ncbi.nlm.nih.gov/9989342/</t>
  </si>
  <si>
    <t>Methimazole</t>
  </si>
  <si>
    <t>https://pubmed.ncbi.nlm.nih.gov/4042519/</t>
  </si>
  <si>
    <t>Piroxicam</t>
  </si>
  <si>
    <t>https://pubmed.ncbi.nlm.nih.gov/3490574/</t>
  </si>
  <si>
    <t>Glimepiride</t>
  </si>
  <si>
    <t>https://pubmed.ncbi.nlm.nih.gov/16958825/</t>
  </si>
  <si>
    <t>Ibuprofen</t>
  </si>
  <si>
    <t>https://pubmed.ncbi.nlm.nih.gov/9515184/</t>
  </si>
  <si>
    <t>Gefitinib</t>
  </si>
  <si>
    <t>https://pubmed.ncbi.nlm.nih.gov/16231967/</t>
  </si>
  <si>
    <t>Pyrazinamide</t>
  </si>
  <si>
    <t>https://pubmed.ncbi.nlm.nih.gov/2737233/</t>
  </si>
  <si>
    <t>Rosiglitazone</t>
  </si>
  <si>
    <t>https://pubmed.ncbi.nlm.nih.gov/20572378/</t>
  </si>
  <si>
    <t>Tacrine</t>
  </si>
  <si>
    <t>https://pubmed.ncbi.nlm.nih.gov/2598567/</t>
  </si>
  <si>
    <t>Benoxaprofen</t>
  </si>
  <si>
    <t>https://pubmed.ncbi.nlm.nih.gov/303114/</t>
  </si>
  <si>
    <t>Chlorpromazine</t>
  </si>
  <si>
    <t>https://pubmed.ncbi.nlm.nih.gov/8157044/</t>
  </si>
  <si>
    <t>Bosentan</t>
  </si>
  <si>
    <t>https://pubmed.ncbi.nlm.nih.gov/15568889/</t>
  </si>
  <si>
    <t>Nifedipine</t>
  </si>
  <si>
    <t>https://pubmed.ncbi.nlm.nih.gov/3203042/</t>
  </si>
  <si>
    <t>Chloroquine</t>
  </si>
  <si>
    <t>https://pubmed.ncbi.nlm.nih.gov/32687630/</t>
  </si>
  <si>
    <t>Albuterol</t>
  </si>
  <si>
    <t>https://pubmed.ncbi.nlm.nih.gov/9284849/</t>
  </si>
  <si>
    <t>Paroxetine</t>
  </si>
  <si>
    <t>https://pubmed.ncbi.nlm.nih.gov/2530793/</t>
  </si>
  <si>
    <t>Biperiden</t>
  </si>
  <si>
    <t>https://pubmed.ncbi.nlm.nih.gov/3709619/</t>
  </si>
  <si>
    <t>Liothyronine</t>
  </si>
  <si>
    <t>https://pubmed.ncbi.nlm.nih.gov/35295986/</t>
  </si>
  <si>
    <t>Sitaxsentan</t>
  </si>
  <si>
    <t>https://pubmed.ncbi.nlm.nih.gov/17635499/</t>
  </si>
  <si>
    <t>Chlorpheniramine</t>
  </si>
  <si>
    <t>https://pubmed.ncbi.nlm.nih.gov/7106172/</t>
  </si>
  <si>
    <t>penbutolol</t>
  </si>
  <si>
    <t>https://pubmed.ncbi.nlm.nih.gov/3762014/</t>
  </si>
  <si>
    <t>Primaquine</t>
  </si>
  <si>
    <t>https://pubmed.ncbi.nlm.nih.gov/4027117/</t>
  </si>
  <si>
    <t>Methotrexate</t>
  </si>
  <si>
    <t>https://pubmed.ncbi.nlm.nih.gov/8882301/</t>
  </si>
  <si>
    <t>Trazodone</t>
  </si>
  <si>
    <t>https://pubmed.ncbi.nlm.nih.gov/26483693/</t>
  </si>
  <si>
    <t>Clemastine</t>
  </si>
  <si>
    <t>https://pubmed.ncbi.nlm.nih.gov/8930778/</t>
  </si>
  <si>
    <t>Zafirlukast</t>
  </si>
  <si>
    <t>https://pubmed.ncbi.nlm.nih.gov/10751029/</t>
  </si>
  <si>
    <t>Lapatinib</t>
  </si>
  <si>
    <t>Hydroxyurea</t>
  </si>
  <si>
    <t>https://pubmed.ncbi.nlm.nih.gov/19825948/</t>
  </si>
  <si>
    <t>https://pubmed.ncbi.nlm.nih.gov/15778424/</t>
  </si>
  <si>
    <t>Trovafloxacin</t>
  </si>
  <si>
    <t>https://pubmed.ncbi.nlm.nih.gov/9935250/</t>
  </si>
  <si>
    <t>Telmisartan</t>
  </si>
  <si>
    <t>https://pubmed.ncbi.nlm.nih.gov/11014323/</t>
  </si>
  <si>
    <t>Cyclosporine</t>
  </si>
  <si>
    <t>https://pubmed.ncbi.nlm.nih.gov/3514043/</t>
  </si>
  <si>
    <t>Febuxostat</t>
  </si>
  <si>
    <t>https://pubmed.ncbi.nlm.nih.gov/27753003/</t>
  </si>
  <si>
    <t>Bicalutamide</t>
  </si>
  <si>
    <t>https://pubmed.ncbi.nlm.nih.gov/15509184/</t>
  </si>
  <si>
    <t>minocycline</t>
  </si>
  <si>
    <t>https://pubmed.ncbi.nlm.nih.gov/4199710/</t>
  </si>
  <si>
    <t>Fenofibrate</t>
  </si>
  <si>
    <t>https://pubmed.ncbi.nlm.nih.gov/16490579/</t>
  </si>
  <si>
    <t>Haloperidol</t>
  </si>
  <si>
    <t>https://pubmed.ncbi.nlm.nih.gov/3680566/</t>
  </si>
  <si>
    <t>Ticrynafen</t>
  </si>
  <si>
    <t>https://pubmed.ncbi.nlm.nih.gov/7128663/</t>
  </si>
  <si>
    <t>abacavir</t>
  </si>
  <si>
    <t>https://pubmed.ncbi.nlm.nih.gov/18479171/</t>
  </si>
  <si>
    <t>Sertraline</t>
  </si>
  <si>
    <t>https://pubmed.ncbi.nlm.nih.gov/12452737/</t>
  </si>
  <si>
    <t>Pioglitazone</t>
  </si>
  <si>
    <t>DOI: 10.1055/s-2000-8525; https://www.thieme-connect.com/products/ejournals/abstract/10.1055/s-2000-8525</t>
  </si>
  <si>
    <t>Doxylamine</t>
  </si>
  <si>
    <t>https://pubmed.ncbi.nlm.nih.gov/23230999/</t>
  </si>
  <si>
    <t>Losartan</t>
  </si>
  <si>
    <t>https://pubmed.ncbi.nlm.nih.gov/8529329/</t>
  </si>
  <si>
    <t>Loratadine</t>
  </si>
  <si>
    <t>https://pubmed.ncbi.nlm.nih.gov/2960701/</t>
  </si>
  <si>
    <t>tenofovir disoproxil</t>
  </si>
  <si>
    <t>https://pubmed.ncbi.nlm.nih.gov/15217303/</t>
  </si>
  <si>
    <t>Ketorolac</t>
  </si>
  <si>
    <t>https://pubmed.ncbi.nlm.nih.gov/1458761/</t>
  </si>
  <si>
    <t>Nevirapine</t>
  </si>
  <si>
    <t>https://pubmed.ncbi.nlm.nih.gov/8452345/</t>
  </si>
  <si>
    <t>Warfarin</t>
  </si>
  <si>
    <t>https://pubmed.ncbi.nlm.nih.gov/3542339/</t>
  </si>
  <si>
    <t>Benzarone</t>
  </si>
  <si>
    <t>https://pubmed.ncbi.nlm.nih.gov/3660858/</t>
  </si>
  <si>
    <t>Montelukast</t>
  </si>
  <si>
    <t>https://pubmed.ncbi.nlm.nih.gov/8692739/</t>
  </si>
  <si>
    <t>Griseofulvin</t>
  </si>
  <si>
    <t>https://pubmed.ncbi.nlm.nih.gov/4055158/</t>
  </si>
  <si>
    <t>Telithromycin</t>
  </si>
  <si>
    <t>https://pubmed.ncbi.nlm.nih.gov/16122280/</t>
  </si>
  <si>
    <t>Leflunomide</t>
  </si>
  <si>
    <t>https://pubmed.ncbi.nlm.nih.gov/12060531/</t>
  </si>
  <si>
    <t>Dobutamine</t>
  </si>
  <si>
    <t>https://pubmed.ncbi.nlm.nih.gov/3189740/</t>
  </si>
  <si>
    <t>Pazopanib</t>
  </si>
  <si>
    <t>https://pubmed.ncbi.nlm.nih.gov/23548165/</t>
  </si>
  <si>
    <t>tetracycline</t>
  </si>
  <si>
    <t>https://pubmed.ncbi.nlm.nih.gov/16816396/</t>
  </si>
  <si>
    <t>Solithromycin</t>
  </si>
  <si>
    <t>https://pubmed.ncbi.nlm.nih.gov/21282444/</t>
  </si>
  <si>
    <t>Protriptyline</t>
  </si>
  <si>
    <t>https://pubmed.ncbi.nlm.nih.gov/639433/</t>
  </si>
  <si>
    <t>Tasosartan</t>
  </si>
  <si>
    <t>https://pubmed.ncbi.nlm.nih.gov/10709151/</t>
  </si>
  <si>
    <t>Digoxin</t>
  </si>
  <si>
    <t>https://pubmed.ncbi.nlm.nih.gov/12463730/</t>
  </si>
  <si>
    <t>Fludrocortisone Acetate</t>
  </si>
  <si>
    <t>https://pubmed.ncbi.nlm.nih.gov/27416887/</t>
  </si>
  <si>
    <t>Pranlukast</t>
  </si>
  <si>
    <t>https://pubmed.ncbi.nlm.nih.gov/9010703/</t>
  </si>
  <si>
    <t>venlafaxine</t>
  </si>
  <si>
    <t>Carbetapentane Citrate</t>
  </si>
  <si>
    <t>https://pubmed.ncbi.nlm.nih.gov/9505987/</t>
  </si>
  <si>
    <t>https://pubmed.ncbi.nlm.nih.gov/21351477/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</si>
</sst>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222222"/>
      <name val="Arial"/>
      <family val="2"/>
    </font>
    <font>
      <sz val="7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E333-C61D-4A9A-A658-816ACBF1BBE0}">
  <dimension ref="A1:F208"/>
  <sheetViews>
    <sheetView tabSelected="1" topLeftCell="A111" workbookViewId="0">
      <selection activeCell="A130" sqref="A130"/>
    </sheetView>
  </sheetViews>
  <sheetFormatPr baseColWidth="10" defaultRowHeight="14.4" x14ac:dyDescent="0.3"/>
  <cols>
    <col min="1" max="1" width="21" customWidth="1"/>
  </cols>
  <sheetData>
    <row r="1" spans="1:6" s="2" customFormat="1" x14ac:dyDescent="0.3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2</v>
      </c>
    </row>
    <row r="2" spans="1:6" x14ac:dyDescent="0.3">
      <c r="A2" s="1" t="s">
        <v>1</v>
      </c>
      <c r="B2">
        <v>142</v>
      </c>
      <c r="C2" t="s">
        <v>8</v>
      </c>
      <c r="D2">
        <v>32</v>
      </c>
      <c r="E2" t="s">
        <v>9</v>
      </c>
      <c r="F2" t="s">
        <v>7</v>
      </c>
    </row>
    <row r="3" spans="1:6" x14ac:dyDescent="0.3">
      <c r="A3" t="s">
        <v>10</v>
      </c>
      <c r="B3">
        <v>51.6</v>
      </c>
      <c r="C3" t="s">
        <v>8</v>
      </c>
      <c r="D3">
        <v>75</v>
      </c>
      <c r="E3" t="s">
        <v>9</v>
      </c>
      <c r="F3" t="s">
        <v>198</v>
      </c>
    </row>
    <row r="4" spans="1:6" x14ac:dyDescent="0.3">
      <c r="A4" t="s">
        <v>11</v>
      </c>
      <c r="B4">
        <v>1239</v>
      </c>
      <c r="C4" t="s">
        <v>12</v>
      </c>
      <c r="D4">
        <v>5</v>
      </c>
      <c r="E4" t="s">
        <v>9</v>
      </c>
      <c r="F4" t="s">
        <v>13</v>
      </c>
    </row>
    <row r="5" spans="1:6" x14ac:dyDescent="0.3">
      <c r="A5" t="s">
        <v>14</v>
      </c>
      <c r="B5">
        <f>1080/85*200</f>
        <v>2541.1764705882351</v>
      </c>
      <c r="C5" t="s">
        <v>16</v>
      </c>
      <c r="D5">
        <f>(50*1.7)/85*200</f>
        <v>200</v>
      </c>
      <c r="E5" t="s">
        <v>9</v>
      </c>
      <c r="F5" t="s">
        <v>15</v>
      </c>
    </row>
    <row r="6" spans="1:6" x14ac:dyDescent="0.3">
      <c r="A6" t="s">
        <v>17</v>
      </c>
      <c r="B6">
        <v>25.6</v>
      </c>
      <c r="C6" t="s">
        <v>18</v>
      </c>
      <c r="D6">
        <v>1200</v>
      </c>
      <c r="E6" t="s">
        <v>9</v>
      </c>
      <c r="F6" t="s">
        <v>19</v>
      </c>
    </row>
    <row r="7" spans="1:6" x14ac:dyDescent="0.3">
      <c r="A7" t="s">
        <v>20</v>
      </c>
      <c r="B7">
        <v>31.14</v>
      </c>
      <c r="C7" t="s">
        <v>8</v>
      </c>
      <c r="D7">
        <v>300</v>
      </c>
      <c r="E7" t="s">
        <v>9</v>
      </c>
      <c r="F7" t="s">
        <v>21</v>
      </c>
    </row>
    <row r="8" spans="1:6" x14ac:dyDescent="0.3">
      <c r="A8" t="s">
        <v>22</v>
      </c>
      <c r="B8">
        <v>0.93899999999999995</v>
      </c>
      <c r="C8" t="s">
        <v>23</v>
      </c>
      <c r="D8">
        <f>50*73</f>
        <v>3650</v>
      </c>
      <c r="E8" t="s">
        <v>9</v>
      </c>
      <c r="F8" t="s">
        <v>24</v>
      </c>
    </row>
    <row r="9" spans="1:6" x14ac:dyDescent="0.3">
      <c r="A9" t="s">
        <v>25</v>
      </c>
      <c r="B9">
        <f>13*4</f>
        <v>52</v>
      </c>
      <c r="C9" t="s">
        <v>26</v>
      </c>
      <c r="D9">
        <f>1000*4</f>
        <v>4000</v>
      </c>
      <c r="E9" t="s">
        <v>9</v>
      </c>
      <c r="F9" t="s">
        <v>27</v>
      </c>
    </row>
    <row r="10" spans="1:6" x14ac:dyDescent="0.3">
      <c r="A10" t="s">
        <v>29</v>
      </c>
      <c r="B10">
        <f>415*1.5</f>
        <v>622.5</v>
      </c>
      <c r="C10" t="s">
        <v>28</v>
      </c>
      <c r="D10">
        <f>200*1.5</f>
        <v>300</v>
      </c>
      <c r="E10" t="s">
        <v>9</v>
      </c>
      <c r="F10" t="s">
        <v>30</v>
      </c>
    </row>
    <row r="11" spans="1:6" x14ac:dyDescent="0.3">
      <c r="A11" t="s">
        <v>31</v>
      </c>
      <c r="B11">
        <v>2.5</v>
      </c>
      <c r="C11" t="s">
        <v>8</v>
      </c>
      <c r="D11">
        <v>2</v>
      </c>
      <c r="E11" t="s">
        <v>9</v>
      </c>
      <c r="F11" t="s">
        <v>32</v>
      </c>
    </row>
    <row r="12" spans="1:6" x14ac:dyDescent="0.3">
      <c r="A12" t="s">
        <v>33</v>
      </c>
      <c r="B12">
        <v>220</v>
      </c>
      <c r="C12" t="s">
        <v>8</v>
      </c>
      <c r="D12">
        <v>150</v>
      </c>
      <c r="E12" t="s">
        <v>9</v>
      </c>
      <c r="F12" t="s">
        <v>34</v>
      </c>
    </row>
    <row r="13" spans="1:6" x14ac:dyDescent="0.3">
      <c r="A13" t="s">
        <v>35</v>
      </c>
      <c r="B13">
        <v>8</v>
      </c>
      <c r="C13" t="s">
        <v>18</v>
      </c>
      <c r="D13">
        <v>1000</v>
      </c>
      <c r="E13" t="s">
        <v>9</v>
      </c>
      <c r="F13" t="s">
        <v>36</v>
      </c>
    </row>
    <row r="14" spans="1:6" x14ac:dyDescent="0.3">
      <c r="A14" t="s">
        <v>37</v>
      </c>
      <c r="B14">
        <v>41</v>
      </c>
      <c r="C14" t="s">
        <v>8</v>
      </c>
      <c r="D14">
        <v>72.83</v>
      </c>
      <c r="E14" t="s">
        <v>9</v>
      </c>
      <c r="F14" t="s">
        <v>38</v>
      </c>
    </row>
    <row r="15" spans="1:6" x14ac:dyDescent="0.3">
      <c r="A15" t="s">
        <v>39</v>
      </c>
      <c r="B15">
        <v>112</v>
      </c>
      <c r="C15" t="s">
        <v>8</v>
      </c>
      <c r="D15">
        <v>300</v>
      </c>
      <c r="E15" t="s">
        <v>9</v>
      </c>
      <c r="F15" t="s">
        <v>40</v>
      </c>
    </row>
    <row r="16" spans="1:6" x14ac:dyDescent="0.3">
      <c r="A16" t="s">
        <v>41</v>
      </c>
      <c r="B16">
        <v>116</v>
      </c>
      <c r="C16" t="s">
        <v>8</v>
      </c>
      <c r="D16">
        <v>10</v>
      </c>
      <c r="E16" t="s">
        <v>9</v>
      </c>
      <c r="F16" t="s">
        <v>42</v>
      </c>
    </row>
    <row r="17" spans="1:6" x14ac:dyDescent="0.3">
      <c r="A17" t="s">
        <v>43</v>
      </c>
      <c r="B17">
        <v>32.700000000000003</v>
      </c>
      <c r="C17" t="s">
        <v>44</v>
      </c>
      <c r="D17">
        <v>1000</v>
      </c>
      <c r="E17" t="s">
        <v>9</v>
      </c>
      <c r="F17" t="s">
        <v>45</v>
      </c>
    </row>
    <row r="18" spans="1:6" x14ac:dyDescent="0.3">
      <c r="A18" t="s">
        <v>46</v>
      </c>
      <c r="B18">
        <v>132.29</v>
      </c>
      <c r="C18" t="s">
        <v>8</v>
      </c>
      <c r="D18">
        <v>110</v>
      </c>
      <c r="E18" t="s">
        <v>9</v>
      </c>
      <c r="F18" t="s">
        <v>47</v>
      </c>
    </row>
    <row r="19" spans="1:6" x14ac:dyDescent="0.3">
      <c r="A19" t="s">
        <v>48</v>
      </c>
      <c r="B19">
        <v>50</v>
      </c>
      <c r="C19" t="s">
        <v>12</v>
      </c>
      <c r="D19">
        <v>2E-3</v>
      </c>
      <c r="E19" t="s">
        <v>9</v>
      </c>
      <c r="F19" t="s">
        <v>49</v>
      </c>
    </row>
    <row r="20" spans="1:6" x14ac:dyDescent="0.3">
      <c r="A20" t="s">
        <v>50</v>
      </c>
      <c r="B20">
        <v>0.27</v>
      </c>
      <c r="C20" t="s">
        <v>8</v>
      </c>
      <c r="D20">
        <v>0.1</v>
      </c>
      <c r="E20" t="s">
        <v>9</v>
      </c>
      <c r="F20" t="s">
        <v>51</v>
      </c>
    </row>
    <row r="21" spans="1:6" x14ac:dyDescent="0.3">
      <c r="A21" t="s">
        <v>52</v>
      </c>
      <c r="B21">
        <v>16.5</v>
      </c>
      <c r="C21" t="s">
        <v>8</v>
      </c>
      <c r="D21">
        <v>20</v>
      </c>
      <c r="E21" t="s">
        <v>9</v>
      </c>
      <c r="F21" t="s">
        <v>53</v>
      </c>
    </row>
    <row r="22" spans="1:6" x14ac:dyDescent="0.3">
      <c r="A22" t="s">
        <v>54</v>
      </c>
      <c r="B22">
        <v>1.8</v>
      </c>
      <c r="C22" t="s">
        <v>8</v>
      </c>
      <c r="D22">
        <v>0.5</v>
      </c>
      <c r="E22" t="s">
        <v>9</v>
      </c>
      <c r="F22" t="s">
        <v>55</v>
      </c>
    </row>
    <row r="23" spans="1:6" x14ac:dyDescent="0.3">
      <c r="A23" t="s">
        <v>56</v>
      </c>
      <c r="B23">
        <v>263.8</v>
      </c>
      <c r="C23" t="s">
        <v>8</v>
      </c>
      <c r="D23">
        <v>20</v>
      </c>
      <c r="E23" t="s">
        <v>9</v>
      </c>
      <c r="F23" t="s">
        <v>57</v>
      </c>
    </row>
    <row r="24" spans="1:6" x14ac:dyDescent="0.3">
      <c r="A24" t="s">
        <v>58</v>
      </c>
      <c r="B24">
        <f>289*2</f>
        <v>578</v>
      </c>
      <c r="C24" t="s">
        <v>8</v>
      </c>
      <c r="D24">
        <f>200*2</f>
        <v>400</v>
      </c>
      <c r="E24" t="s">
        <v>9</v>
      </c>
      <c r="F24" t="s">
        <v>59</v>
      </c>
    </row>
    <row r="25" spans="1:6" x14ac:dyDescent="0.3">
      <c r="A25" t="s">
        <v>60</v>
      </c>
      <c r="B25">
        <v>119.3</v>
      </c>
      <c r="C25" t="s">
        <v>8</v>
      </c>
      <c r="D25">
        <v>100</v>
      </c>
      <c r="E25" t="s">
        <v>9</v>
      </c>
      <c r="F25" t="s">
        <v>61</v>
      </c>
    </row>
    <row r="26" spans="1:6" x14ac:dyDescent="0.3">
      <c r="A26" t="s">
        <v>62</v>
      </c>
      <c r="B26">
        <f>247*2</f>
        <v>494</v>
      </c>
      <c r="C26" t="s">
        <v>8</v>
      </c>
      <c r="D26">
        <f>30*2</f>
        <v>60</v>
      </c>
      <c r="E26" t="s">
        <v>9</v>
      </c>
      <c r="F26" t="s">
        <v>63</v>
      </c>
    </row>
    <row r="27" spans="1:6" x14ac:dyDescent="0.3">
      <c r="A27" t="s">
        <v>64</v>
      </c>
      <c r="B27">
        <v>121</v>
      </c>
      <c r="C27" t="s">
        <v>8</v>
      </c>
      <c r="D27">
        <v>800</v>
      </c>
      <c r="E27" t="s">
        <v>9</v>
      </c>
      <c r="F27" t="s">
        <v>65</v>
      </c>
    </row>
    <row r="28" spans="1:6" x14ac:dyDescent="0.3">
      <c r="A28" t="s">
        <v>66</v>
      </c>
      <c r="B28">
        <v>53.1</v>
      </c>
      <c r="C28" t="s">
        <v>8</v>
      </c>
      <c r="D28">
        <v>60</v>
      </c>
      <c r="E28" t="s">
        <v>9</v>
      </c>
      <c r="F28" t="s">
        <v>67</v>
      </c>
    </row>
    <row r="29" spans="1:6" x14ac:dyDescent="0.3">
      <c r="A29" t="s">
        <v>68</v>
      </c>
      <c r="B29">
        <v>50.47</v>
      </c>
      <c r="C29" t="s">
        <v>8</v>
      </c>
      <c r="D29">
        <v>20</v>
      </c>
      <c r="E29" t="s">
        <v>9</v>
      </c>
      <c r="F29" t="s">
        <v>69</v>
      </c>
    </row>
    <row r="30" spans="1:6" x14ac:dyDescent="0.3">
      <c r="A30" t="s">
        <v>70</v>
      </c>
      <c r="B30">
        <v>7.3</v>
      </c>
      <c r="C30" t="s">
        <v>26</v>
      </c>
      <c r="D30">
        <v>2000</v>
      </c>
      <c r="E30" t="s">
        <v>9</v>
      </c>
      <c r="F30" t="s">
        <v>71</v>
      </c>
    </row>
    <row r="31" spans="1:6" x14ac:dyDescent="0.3">
      <c r="A31" t="s">
        <v>72</v>
      </c>
      <c r="B31">
        <v>45.82</v>
      </c>
      <c r="C31" t="s">
        <v>8</v>
      </c>
      <c r="D31">
        <v>30</v>
      </c>
      <c r="E31" t="s">
        <v>9</v>
      </c>
      <c r="F31" t="s">
        <v>73</v>
      </c>
    </row>
    <row r="32" spans="1:6" x14ac:dyDescent="0.3">
      <c r="A32" t="s">
        <v>74</v>
      </c>
      <c r="B32">
        <v>354</v>
      </c>
      <c r="C32" t="s">
        <v>8</v>
      </c>
      <c r="D32">
        <v>20</v>
      </c>
      <c r="E32" t="s">
        <v>9</v>
      </c>
      <c r="F32" t="s">
        <v>75</v>
      </c>
    </row>
    <row r="33" spans="1:6" x14ac:dyDescent="0.3">
      <c r="A33" t="s">
        <v>76</v>
      </c>
      <c r="B33">
        <v>6</v>
      </c>
      <c r="C33" t="s">
        <v>44</v>
      </c>
      <c r="D33">
        <v>800</v>
      </c>
      <c r="E33" t="s">
        <v>9</v>
      </c>
      <c r="F33" t="s">
        <v>77</v>
      </c>
    </row>
    <row r="34" spans="1:6" x14ac:dyDescent="0.3">
      <c r="A34" t="s">
        <v>78</v>
      </c>
      <c r="B34">
        <v>2.9</v>
      </c>
      <c r="C34" t="s">
        <v>26</v>
      </c>
      <c r="D34">
        <v>300</v>
      </c>
      <c r="E34" t="s">
        <v>9</v>
      </c>
      <c r="F34" t="s">
        <v>79</v>
      </c>
    </row>
    <row r="35" spans="1:6" x14ac:dyDescent="0.3">
      <c r="A35" t="s">
        <v>80</v>
      </c>
      <c r="B35">
        <v>3163</v>
      </c>
      <c r="C35" t="s">
        <v>8</v>
      </c>
      <c r="D35">
        <v>800</v>
      </c>
      <c r="E35" t="s">
        <v>9</v>
      </c>
      <c r="F35" t="s">
        <v>81</v>
      </c>
    </row>
    <row r="36" spans="1:6" x14ac:dyDescent="0.3">
      <c r="A36" t="s">
        <v>82</v>
      </c>
      <c r="B36">
        <v>65.8</v>
      </c>
      <c r="C36" t="s">
        <v>28</v>
      </c>
      <c r="D36">
        <v>4</v>
      </c>
      <c r="E36" t="s">
        <v>9</v>
      </c>
      <c r="F36" t="s">
        <v>83</v>
      </c>
    </row>
    <row r="37" spans="1:6" x14ac:dyDescent="0.3">
      <c r="A37" t="s">
        <v>84</v>
      </c>
      <c r="B37">
        <v>371.8</v>
      </c>
      <c r="C37" t="s">
        <v>8</v>
      </c>
      <c r="D37">
        <v>100</v>
      </c>
      <c r="E37" t="s">
        <v>9</v>
      </c>
      <c r="F37" t="s">
        <v>85</v>
      </c>
    </row>
    <row r="38" spans="1:6" x14ac:dyDescent="0.3">
      <c r="A38" t="s">
        <v>86</v>
      </c>
      <c r="B38">
        <f>187.9*2</f>
        <v>375.8</v>
      </c>
      <c r="C38" t="s">
        <v>8</v>
      </c>
      <c r="D38">
        <f>150*2</f>
        <v>300</v>
      </c>
      <c r="E38" t="s">
        <v>9</v>
      </c>
      <c r="F38" t="s">
        <v>87</v>
      </c>
    </row>
    <row r="39" spans="1:6" x14ac:dyDescent="0.3">
      <c r="A39" t="s">
        <v>88</v>
      </c>
      <c r="B39">
        <v>30.38</v>
      </c>
      <c r="C39" t="s">
        <v>8</v>
      </c>
      <c r="D39">
        <v>10</v>
      </c>
      <c r="E39" t="s">
        <v>9</v>
      </c>
      <c r="F39" t="s">
        <v>89</v>
      </c>
    </row>
    <row r="40" spans="1:6" x14ac:dyDescent="0.3">
      <c r="A40" t="s">
        <v>90</v>
      </c>
      <c r="B40">
        <v>536.6</v>
      </c>
      <c r="C40" t="s">
        <v>8</v>
      </c>
      <c r="D40">
        <v>20</v>
      </c>
      <c r="E40" t="s">
        <v>9</v>
      </c>
      <c r="F40" t="s">
        <v>91</v>
      </c>
    </row>
    <row r="41" spans="1:6" x14ac:dyDescent="0.3">
      <c r="A41" t="s">
        <v>92</v>
      </c>
      <c r="B41">
        <v>3.15</v>
      </c>
      <c r="C41" t="s">
        <v>26</v>
      </c>
      <c r="D41">
        <v>44.6</v>
      </c>
      <c r="E41" t="s">
        <v>9</v>
      </c>
      <c r="F41" t="s">
        <v>93</v>
      </c>
    </row>
    <row r="42" spans="1:6" x14ac:dyDescent="0.3">
      <c r="A42" t="s">
        <v>94</v>
      </c>
      <c r="B42">
        <v>76.2</v>
      </c>
      <c r="C42" t="s">
        <v>8</v>
      </c>
      <c r="D42">
        <v>10</v>
      </c>
      <c r="E42" t="s">
        <v>9</v>
      </c>
      <c r="F42" t="s">
        <v>95</v>
      </c>
    </row>
    <row r="43" spans="1:6" x14ac:dyDescent="0.3">
      <c r="A43" t="s">
        <v>96</v>
      </c>
      <c r="B43">
        <v>7.2</v>
      </c>
      <c r="C43" t="s">
        <v>8</v>
      </c>
      <c r="D43">
        <v>10</v>
      </c>
      <c r="E43" t="s">
        <v>9</v>
      </c>
      <c r="F43" t="s">
        <v>97</v>
      </c>
    </row>
    <row r="44" spans="1:6" x14ac:dyDescent="0.3">
      <c r="A44" t="s">
        <v>98</v>
      </c>
      <c r="B44">
        <v>40</v>
      </c>
      <c r="C44" t="s">
        <v>26</v>
      </c>
      <c r="D44">
        <v>2000</v>
      </c>
      <c r="E44" t="s">
        <v>9</v>
      </c>
      <c r="F44" t="s">
        <v>100</v>
      </c>
    </row>
    <row r="45" spans="1:6" x14ac:dyDescent="0.3">
      <c r="A45" t="s">
        <v>99</v>
      </c>
      <c r="B45">
        <v>70</v>
      </c>
      <c r="C45" t="s">
        <v>26</v>
      </c>
      <c r="D45">
        <v>2000</v>
      </c>
      <c r="E45" t="s">
        <v>9</v>
      </c>
      <c r="F45" t="s">
        <v>100</v>
      </c>
    </row>
    <row r="46" spans="1:6" x14ac:dyDescent="0.3">
      <c r="A46" t="s">
        <v>101</v>
      </c>
      <c r="B46">
        <v>79.900000000000006</v>
      </c>
      <c r="C46" t="s">
        <v>16</v>
      </c>
      <c r="D46">
        <v>5</v>
      </c>
      <c r="E46" t="s">
        <v>9</v>
      </c>
      <c r="F46" t="s">
        <v>102</v>
      </c>
    </row>
    <row r="47" spans="1:6" x14ac:dyDescent="0.3">
      <c r="A47" t="s">
        <v>103</v>
      </c>
      <c r="B47">
        <v>34</v>
      </c>
      <c r="C47" t="s">
        <v>18</v>
      </c>
      <c r="D47">
        <v>1500</v>
      </c>
      <c r="E47" t="s">
        <v>9</v>
      </c>
      <c r="F47" t="s">
        <v>104</v>
      </c>
    </row>
    <row r="48" spans="1:6" x14ac:dyDescent="0.3">
      <c r="A48" t="s">
        <v>105</v>
      </c>
      <c r="B48">
        <v>225</v>
      </c>
      <c r="C48" t="s">
        <v>44</v>
      </c>
      <c r="D48">
        <v>2400</v>
      </c>
      <c r="E48" t="s">
        <v>9</v>
      </c>
      <c r="F48" t="s">
        <v>106</v>
      </c>
    </row>
    <row r="49" spans="1:6" x14ac:dyDescent="0.3">
      <c r="A49" t="s">
        <v>107</v>
      </c>
      <c r="B49">
        <v>184</v>
      </c>
      <c r="C49" t="s">
        <v>8</v>
      </c>
      <c r="D49">
        <v>16</v>
      </c>
      <c r="E49" t="s">
        <v>9</v>
      </c>
      <c r="F49" t="s">
        <v>108</v>
      </c>
    </row>
    <row r="50" spans="1:6" x14ac:dyDescent="0.3">
      <c r="A50" t="s">
        <v>110</v>
      </c>
      <c r="B50">
        <v>29</v>
      </c>
      <c r="C50" t="s">
        <v>8</v>
      </c>
      <c r="D50">
        <v>2</v>
      </c>
      <c r="E50" t="s">
        <v>9</v>
      </c>
      <c r="F50" t="s">
        <v>109</v>
      </c>
    </row>
    <row r="51" spans="1:6" x14ac:dyDescent="0.3">
      <c r="A51" t="s">
        <v>111</v>
      </c>
      <c r="B51">
        <v>1900</v>
      </c>
      <c r="C51" t="s">
        <v>8</v>
      </c>
      <c r="D51">
        <v>150</v>
      </c>
      <c r="E51" t="s">
        <v>9</v>
      </c>
      <c r="F51" t="s">
        <v>112</v>
      </c>
    </row>
    <row r="52" spans="1:6" x14ac:dyDescent="0.3">
      <c r="A52" t="s">
        <v>113</v>
      </c>
      <c r="B52">
        <v>37.475000000000001</v>
      </c>
      <c r="C52" t="s">
        <v>8</v>
      </c>
      <c r="D52">
        <v>12</v>
      </c>
      <c r="E52" t="s">
        <v>9</v>
      </c>
      <c r="F52" t="s">
        <v>114</v>
      </c>
    </row>
    <row r="53" spans="1:6" x14ac:dyDescent="0.3">
      <c r="A53" t="s">
        <v>115</v>
      </c>
      <c r="B53">
        <v>83.6</v>
      </c>
      <c r="C53" t="s">
        <v>8</v>
      </c>
      <c r="D53">
        <f>8*1.98</f>
        <v>15.84</v>
      </c>
      <c r="E53" t="s">
        <v>9</v>
      </c>
      <c r="F53" t="s">
        <v>116</v>
      </c>
    </row>
    <row r="54" spans="1:6" x14ac:dyDescent="0.3">
      <c r="A54" t="s">
        <v>117</v>
      </c>
      <c r="B54">
        <v>8108</v>
      </c>
      <c r="C54" t="s">
        <v>12</v>
      </c>
      <c r="D54">
        <v>10</v>
      </c>
      <c r="E54" t="s">
        <v>9</v>
      </c>
      <c r="F54" t="s">
        <v>118</v>
      </c>
    </row>
    <row r="55" spans="1:6" x14ac:dyDescent="0.3">
      <c r="A55" t="s">
        <v>119</v>
      </c>
      <c r="B55">
        <v>6.72</v>
      </c>
      <c r="C55" t="s">
        <v>8</v>
      </c>
      <c r="D55">
        <v>40</v>
      </c>
      <c r="E55" t="s">
        <v>9</v>
      </c>
      <c r="F55" t="s">
        <v>120</v>
      </c>
    </row>
    <row r="56" spans="1:6" x14ac:dyDescent="0.3">
      <c r="A56" t="s">
        <v>121</v>
      </c>
      <c r="B56">
        <v>19.600000000000001</v>
      </c>
      <c r="C56" t="s">
        <v>8</v>
      </c>
      <c r="D56">
        <v>1200</v>
      </c>
      <c r="E56" t="s">
        <v>9</v>
      </c>
      <c r="F56" t="s">
        <v>122</v>
      </c>
    </row>
    <row r="57" spans="1:6" x14ac:dyDescent="0.3">
      <c r="A57" t="s">
        <v>123</v>
      </c>
      <c r="B57">
        <v>20.6</v>
      </c>
      <c r="C57" t="s">
        <v>8</v>
      </c>
      <c r="D57">
        <v>10</v>
      </c>
      <c r="E57" t="s">
        <v>9</v>
      </c>
      <c r="F57" t="s">
        <v>124</v>
      </c>
    </row>
    <row r="58" spans="1:6" x14ac:dyDescent="0.3">
      <c r="A58" t="s">
        <v>125</v>
      </c>
      <c r="B58">
        <v>25053</v>
      </c>
      <c r="C58" t="s">
        <v>16</v>
      </c>
      <c r="D58">
        <v>600</v>
      </c>
      <c r="E58" t="s">
        <v>9</v>
      </c>
      <c r="F58" t="s">
        <v>126</v>
      </c>
    </row>
    <row r="59" spans="1:6" x14ac:dyDescent="0.3">
      <c r="A59" t="s">
        <v>127</v>
      </c>
      <c r="B59">
        <v>19.8</v>
      </c>
      <c r="C59" t="s">
        <v>8</v>
      </c>
      <c r="D59">
        <v>30</v>
      </c>
      <c r="E59" t="s">
        <v>9</v>
      </c>
      <c r="F59" t="s">
        <v>128</v>
      </c>
    </row>
    <row r="60" spans="1:6" x14ac:dyDescent="0.3">
      <c r="A60" t="s">
        <v>129</v>
      </c>
      <c r="B60">
        <v>60.6</v>
      </c>
      <c r="C60" t="s">
        <v>8</v>
      </c>
      <c r="D60">
        <v>300</v>
      </c>
      <c r="E60" t="s">
        <v>9</v>
      </c>
      <c r="F60" t="s">
        <v>130</v>
      </c>
    </row>
    <row r="61" spans="1:6" x14ac:dyDescent="0.3">
      <c r="A61" t="s">
        <v>131</v>
      </c>
      <c r="B61">
        <v>273</v>
      </c>
      <c r="C61" t="s">
        <v>8</v>
      </c>
      <c r="D61">
        <v>40</v>
      </c>
      <c r="E61" t="s">
        <v>9</v>
      </c>
      <c r="F61" t="s">
        <v>132</v>
      </c>
    </row>
    <row r="62" spans="1:6" x14ac:dyDescent="0.3">
      <c r="A62" t="s">
        <v>133</v>
      </c>
      <c r="B62">
        <v>820</v>
      </c>
      <c r="C62" t="s">
        <v>8</v>
      </c>
      <c r="D62">
        <v>160</v>
      </c>
      <c r="E62" t="s">
        <v>9</v>
      </c>
      <c r="F62" t="s">
        <v>134</v>
      </c>
    </row>
    <row r="63" spans="1:6" x14ac:dyDescent="0.3">
      <c r="A63" t="s">
        <v>135</v>
      </c>
      <c r="B63">
        <v>418</v>
      </c>
      <c r="C63" t="s">
        <v>28</v>
      </c>
      <c r="D63">
        <v>50</v>
      </c>
      <c r="E63" t="s">
        <v>9</v>
      </c>
      <c r="F63" t="s">
        <v>136</v>
      </c>
    </row>
    <row r="64" spans="1:6" x14ac:dyDescent="0.3">
      <c r="A64" t="s">
        <v>137</v>
      </c>
      <c r="B64">
        <v>0.7</v>
      </c>
      <c r="C64" t="s">
        <v>18</v>
      </c>
      <c r="D64">
        <v>400</v>
      </c>
      <c r="E64" t="s">
        <v>9</v>
      </c>
      <c r="F64" t="s">
        <v>138</v>
      </c>
    </row>
    <row r="65" spans="1:6" x14ac:dyDescent="0.3">
      <c r="A65" t="s">
        <v>139</v>
      </c>
      <c r="B65">
        <v>3</v>
      </c>
      <c r="C65" t="s">
        <v>26</v>
      </c>
      <c r="D65">
        <v>100</v>
      </c>
      <c r="E65" t="s">
        <v>9</v>
      </c>
      <c r="F65" t="s">
        <v>140</v>
      </c>
    </row>
    <row r="66" spans="1:6" x14ac:dyDescent="0.3">
      <c r="A66" t="s">
        <v>141</v>
      </c>
      <c r="B66">
        <v>4.82</v>
      </c>
      <c r="C66" t="s">
        <v>18</v>
      </c>
      <c r="D66">
        <v>300</v>
      </c>
      <c r="E66" t="s">
        <v>9</v>
      </c>
      <c r="F66" t="s">
        <v>142</v>
      </c>
    </row>
    <row r="67" spans="1:6" x14ac:dyDescent="0.3">
      <c r="A67" t="s">
        <v>143</v>
      </c>
      <c r="B67">
        <v>0.56999999999999995</v>
      </c>
      <c r="C67" t="s">
        <v>18</v>
      </c>
      <c r="D67">
        <v>250</v>
      </c>
      <c r="E67" t="s">
        <v>9</v>
      </c>
      <c r="F67" t="s">
        <v>144</v>
      </c>
    </row>
    <row r="68" spans="1:6" x14ac:dyDescent="0.3">
      <c r="A68" t="s">
        <v>145</v>
      </c>
      <c r="B68">
        <v>3.62</v>
      </c>
      <c r="C68" t="s">
        <v>18</v>
      </c>
      <c r="D68">
        <v>600</v>
      </c>
      <c r="E68" t="s">
        <v>9</v>
      </c>
      <c r="F68" t="s">
        <v>146</v>
      </c>
    </row>
    <row r="69" spans="1:6" x14ac:dyDescent="0.3">
      <c r="A69" t="s">
        <v>147</v>
      </c>
      <c r="B69">
        <v>7.13</v>
      </c>
      <c r="C69" t="s">
        <v>18</v>
      </c>
      <c r="D69">
        <v>750</v>
      </c>
      <c r="E69" t="s">
        <v>9</v>
      </c>
      <c r="F69" t="s">
        <v>148</v>
      </c>
    </row>
    <row r="70" spans="1:6" x14ac:dyDescent="0.3">
      <c r="A70" t="s">
        <v>149</v>
      </c>
      <c r="B70">
        <v>25</v>
      </c>
      <c r="C70" t="s">
        <v>16</v>
      </c>
      <c r="D70">
        <v>10</v>
      </c>
      <c r="E70" t="s">
        <v>9</v>
      </c>
      <c r="F70" t="s">
        <v>150</v>
      </c>
    </row>
    <row r="71" spans="1:6" x14ac:dyDescent="0.3">
      <c r="A71" t="s">
        <v>151</v>
      </c>
      <c r="B71">
        <v>78.400000000000006</v>
      </c>
      <c r="C71" t="s">
        <v>8</v>
      </c>
      <c r="D71">
        <v>80</v>
      </c>
      <c r="E71" t="s">
        <v>9</v>
      </c>
      <c r="F71" t="s">
        <v>229</v>
      </c>
    </row>
    <row r="72" spans="1:6" x14ac:dyDescent="0.3">
      <c r="A72" t="s">
        <v>152</v>
      </c>
      <c r="B72">
        <v>958</v>
      </c>
      <c r="C72" t="s">
        <v>12</v>
      </c>
      <c r="D72">
        <v>2</v>
      </c>
      <c r="E72" t="s">
        <v>9</v>
      </c>
      <c r="F72" t="s">
        <v>153</v>
      </c>
    </row>
    <row r="73" spans="1:6" x14ac:dyDescent="0.3">
      <c r="A73" t="s">
        <v>154</v>
      </c>
      <c r="B73">
        <v>38.1</v>
      </c>
      <c r="C73" t="s">
        <v>28</v>
      </c>
      <c r="D73">
        <v>5</v>
      </c>
      <c r="E73" t="s">
        <v>9</v>
      </c>
      <c r="F73" t="s">
        <v>155</v>
      </c>
    </row>
    <row r="74" spans="1:6" x14ac:dyDescent="0.3">
      <c r="A74" t="s">
        <v>156</v>
      </c>
      <c r="B74">
        <f>3.2*2</f>
        <v>6.4</v>
      </c>
      <c r="C74" t="s">
        <v>8</v>
      </c>
      <c r="D74">
        <f>2*2</f>
        <v>4</v>
      </c>
      <c r="E74" t="s">
        <v>9</v>
      </c>
      <c r="F74" t="s">
        <v>157</v>
      </c>
    </row>
    <row r="75" spans="1:6" x14ac:dyDescent="0.3">
      <c r="A75" t="s">
        <v>158</v>
      </c>
      <c r="B75">
        <f>238/5*17.5</f>
        <v>833</v>
      </c>
      <c r="C75" t="s">
        <v>8</v>
      </c>
      <c r="D75">
        <f>5/5*17.5</f>
        <v>17.5</v>
      </c>
      <c r="E75" t="s">
        <v>9</v>
      </c>
      <c r="F75" t="s">
        <v>159</v>
      </c>
    </row>
    <row r="76" spans="1:6" x14ac:dyDescent="0.3">
      <c r="A76" t="s">
        <v>160</v>
      </c>
      <c r="B76">
        <v>55</v>
      </c>
      <c r="C76" t="s">
        <v>26</v>
      </c>
      <c r="D76">
        <v>400</v>
      </c>
      <c r="E76" t="s">
        <v>9</v>
      </c>
      <c r="F76" t="s">
        <v>161</v>
      </c>
    </row>
    <row r="77" spans="1:6" x14ac:dyDescent="0.3">
      <c r="A77" t="s">
        <v>162</v>
      </c>
      <c r="B77">
        <v>17.2</v>
      </c>
      <c r="C77" t="s">
        <v>8</v>
      </c>
      <c r="D77">
        <v>5</v>
      </c>
      <c r="E77" t="s">
        <v>9</v>
      </c>
      <c r="F77" t="s">
        <v>163</v>
      </c>
    </row>
    <row r="78" spans="1:6" x14ac:dyDescent="0.3">
      <c r="A78" t="s">
        <v>164</v>
      </c>
      <c r="B78">
        <v>340.7</v>
      </c>
      <c r="C78" t="s">
        <v>8</v>
      </c>
      <c r="D78">
        <v>200</v>
      </c>
      <c r="E78" t="s">
        <v>9</v>
      </c>
      <c r="F78" t="s">
        <v>165</v>
      </c>
    </row>
    <row r="79" spans="1:6" x14ac:dyDescent="0.3">
      <c r="A79" t="s">
        <v>166</v>
      </c>
      <c r="B79">
        <f>24*2</f>
        <v>48</v>
      </c>
      <c r="C79" t="s">
        <v>26</v>
      </c>
      <c r="D79">
        <v>200</v>
      </c>
      <c r="E79" t="s">
        <v>9</v>
      </c>
      <c r="F79" t="s">
        <v>167</v>
      </c>
    </row>
    <row r="80" spans="1:6" x14ac:dyDescent="0.3">
      <c r="A80" t="s">
        <v>168</v>
      </c>
      <c r="B80">
        <f>14.3/2</f>
        <v>7.15</v>
      </c>
      <c r="C80" t="s">
        <v>18</v>
      </c>
      <c r="D80">
        <f>400/2</f>
        <v>200</v>
      </c>
      <c r="E80" t="s">
        <v>9</v>
      </c>
      <c r="F80" t="s">
        <v>179</v>
      </c>
    </row>
    <row r="81" spans="1:6" x14ac:dyDescent="0.3">
      <c r="A81" t="s">
        <v>169</v>
      </c>
      <c r="B81">
        <v>145</v>
      </c>
      <c r="C81" t="s">
        <v>28</v>
      </c>
      <c r="D81">
        <v>20</v>
      </c>
      <c r="E81" t="s">
        <v>9</v>
      </c>
      <c r="F81" t="s">
        <v>170</v>
      </c>
    </row>
    <row r="82" spans="1:6" x14ac:dyDescent="0.3">
      <c r="A82" t="s">
        <v>171</v>
      </c>
      <c r="B82">
        <v>0.89</v>
      </c>
      <c r="C82" t="s">
        <v>26</v>
      </c>
      <c r="D82">
        <v>400</v>
      </c>
      <c r="E82" t="s">
        <v>9</v>
      </c>
      <c r="F82" t="s">
        <v>172</v>
      </c>
    </row>
    <row r="83" spans="1:6" x14ac:dyDescent="0.3">
      <c r="A83" t="s">
        <v>173</v>
      </c>
      <c r="B83">
        <v>61</v>
      </c>
      <c r="C83" t="s">
        <v>8</v>
      </c>
      <c r="D83">
        <v>20</v>
      </c>
      <c r="E83" t="s">
        <v>9</v>
      </c>
      <c r="F83" t="s">
        <v>174</v>
      </c>
    </row>
    <row r="84" spans="1:6" x14ac:dyDescent="0.3">
      <c r="A84" t="s">
        <v>175</v>
      </c>
      <c r="B84">
        <v>1.55</v>
      </c>
      <c r="C84" t="s">
        <v>8</v>
      </c>
      <c r="D84">
        <v>30</v>
      </c>
      <c r="E84" t="s">
        <v>9</v>
      </c>
      <c r="F84" t="s">
        <v>176</v>
      </c>
    </row>
    <row r="85" spans="1:6" x14ac:dyDescent="0.3">
      <c r="A85" t="s">
        <v>177</v>
      </c>
      <c r="B85">
        <v>355</v>
      </c>
      <c r="C85" t="s">
        <v>12</v>
      </c>
      <c r="D85">
        <v>2</v>
      </c>
      <c r="E85" t="s">
        <v>9</v>
      </c>
      <c r="F85" t="s">
        <v>178</v>
      </c>
    </row>
    <row r="86" spans="1:6" x14ac:dyDescent="0.3">
      <c r="A86" t="s">
        <v>180</v>
      </c>
      <c r="B86">
        <v>20.73</v>
      </c>
      <c r="C86" t="s">
        <v>26</v>
      </c>
      <c r="D86">
        <v>1000</v>
      </c>
      <c r="E86" t="s">
        <v>9</v>
      </c>
      <c r="F86" t="s">
        <v>181</v>
      </c>
    </row>
    <row r="87" spans="1:6" x14ac:dyDescent="0.3">
      <c r="A87" t="s">
        <v>182</v>
      </c>
      <c r="B87">
        <f>37.73*2</f>
        <v>75.459999999999994</v>
      </c>
      <c r="C87" t="s">
        <v>8</v>
      </c>
      <c r="D87">
        <f>20*2</f>
        <v>40</v>
      </c>
      <c r="E87" t="s">
        <v>9</v>
      </c>
      <c r="F87" t="s">
        <v>183</v>
      </c>
    </row>
    <row r="88" spans="1:6" x14ac:dyDescent="0.3">
      <c r="A88" t="s">
        <v>187</v>
      </c>
      <c r="B88">
        <v>637.71</v>
      </c>
      <c r="C88" t="s">
        <v>8</v>
      </c>
      <c r="D88">
        <v>1800</v>
      </c>
      <c r="E88" t="s">
        <v>9</v>
      </c>
      <c r="F88" t="s">
        <v>184</v>
      </c>
    </row>
    <row r="89" spans="1:6" x14ac:dyDescent="0.3">
      <c r="A89" t="s">
        <v>185</v>
      </c>
      <c r="B89">
        <f>5.9*3</f>
        <v>17.700000000000003</v>
      </c>
      <c r="C89" t="s">
        <v>8</v>
      </c>
      <c r="D89">
        <f>10*3</f>
        <v>30</v>
      </c>
      <c r="E89" t="s">
        <v>9</v>
      </c>
      <c r="F89" t="s">
        <v>186</v>
      </c>
    </row>
    <row r="90" spans="1:6" x14ac:dyDescent="0.3">
      <c r="A90" t="s">
        <v>188</v>
      </c>
      <c r="B90">
        <v>0.6</v>
      </c>
      <c r="C90" t="s">
        <v>8</v>
      </c>
      <c r="D90">
        <v>20</v>
      </c>
      <c r="E90" t="s">
        <v>9</v>
      </c>
      <c r="F90" t="s">
        <v>227</v>
      </c>
    </row>
    <row r="91" spans="1:6" x14ac:dyDescent="0.3">
      <c r="A91" t="s">
        <v>189</v>
      </c>
      <c r="B91">
        <v>137</v>
      </c>
      <c r="C91" t="s">
        <v>8</v>
      </c>
      <c r="D91">
        <v>50</v>
      </c>
      <c r="E91" t="s">
        <v>9</v>
      </c>
      <c r="F91" t="s">
        <v>190</v>
      </c>
    </row>
    <row r="92" spans="1:6" x14ac:dyDescent="0.3">
      <c r="A92" t="s">
        <v>191</v>
      </c>
      <c r="B92">
        <f>53.4*2</f>
        <v>106.8</v>
      </c>
      <c r="C92" t="s">
        <v>8</v>
      </c>
      <c r="D92">
        <v>500</v>
      </c>
      <c r="E92" t="s">
        <v>9</v>
      </c>
      <c r="F92" t="s">
        <v>228</v>
      </c>
    </row>
    <row r="93" spans="1:6" x14ac:dyDescent="0.3">
      <c r="A93" t="s">
        <v>192</v>
      </c>
      <c r="B93">
        <v>54.23</v>
      </c>
      <c r="C93" t="s">
        <v>8</v>
      </c>
      <c r="D93">
        <v>20</v>
      </c>
      <c r="E93" t="s">
        <v>9</v>
      </c>
      <c r="F93" t="s">
        <v>193</v>
      </c>
    </row>
    <row r="94" spans="1:6" x14ac:dyDescent="0.3">
      <c r="A94" t="s">
        <v>194</v>
      </c>
      <c r="B94">
        <f>16.9*2</f>
        <v>33.799999999999997</v>
      </c>
      <c r="C94" t="s">
        <v>8</v>
      </c>
      <c r="D94">
        <f>50*2</f>
        <v>100</v>
      </c>
      <c r="E94" t="s">
        <v>9</v>
      </c>
      <c r="F94" t="s">
        <v>195</v>
      </c>
    </row>
    <row r="95" spans="1:6" x14ac:dyDescent="0.3">
      <c r="A95" t="s">
        <v>196</v>
      </c>
      <c r="B95">
        <v>1.7</v>
      </c>
      <c r="C95" t="s">
        <v>18</v>
      </c>
      <c r="D95">
        <v>800</v>
      </c>
      <c r="E95" t="s">
        <v>9</v>
      </c>
      <c r="F95" t="s">
        <v>197</v>
      </c>
    </row>
    <row r="96" spans="1:6" x14ac:dyDescent="0.3">
      <c r="A96" t="s">
        <v>199</v>
      </c>
      <c r="B96">
        <f>1.12*2</f>
        <v>2.2400000000000002</v>
      </c>
      <c r="C96" t="s">
        <v>18</v>
      </c>
      <c r="D96">
        <f>50*2</f>
        <v>100</v>
      </c>
      <c r="E96" t="s">
        <v>9</v>
      </c>
      <c r="F96" t="s">
        <v>200</v>
      </c>
    </row>
    <row r="97" spans="1:6" x14ac:dyDescent="0.3">
      <c r="A97" t="s">
        <v>201</v>
      </c>
      <c r="B97">
        <f>191*6</f>
        <v>1146</v>
      </c>
      <c r="C97" t="s">
        <v>8</v>
      </c>
      <c r="D97">
        <f>200*6</f>
        <v>1200</v>
      </c>
      <c r="E97" t="s">
        <v>9</v>
      </c>
      <c r="F97" t="s">
        <v>202</v>
      </c>
    </row>
    <row r="98" spans="1:6" x14ac:dyDescent="0.3">
      <c r="A98" t="s">
        <v>203</v>
      </c>
      <c r="B98">
        <f>8.2*4</f>
        <v>32.799999999999997</v>
      </c>
      <c r="C98" t="s">
        <v>8</v>
      </c>
      <c r="D98">
        <f>5*4</f>
        <v>20</v>
      </c>
      <c r="E98" t="s">
        <v>9</v>
      </c>
      <c r="F98" t="s">
        <v>204</v>
      </c>
    </row>
    <row r="99" spans="1:6" x14ac:dyDescent="0.3">
      <c r="A99" t="s">
        <v>205</v>
      </c>
      <c r="B99">
        <f>39.3*2</f>
        <v>78.599999999999994</v>
      </c>
      <c r="C99" t="s">
        <v>8</v>
      </c>
      <c r="D99">
        <f>40*2</f>
        <v>80</v>
      </c>
      <c r="E99" t="s">
        <v>9</v>
      </c>
      <c r="F99" t="s">
        <v>206</v>
      </c>
    </row>
    <row r="100" spans="1:6" x14ac:dyDescent="0.3">
      <c r="A100" t="s">
        <v>207</v>
      </c>
      <c r="B100">
        <f>28.9*2</f>
        <v>57.8</v>
      </c>
      <c r="C100" t="s">
        <v>8</v>
      </c>
      <c r="D100">
        <f>50*2</f>
        <v>100</v>
      </c>
      <c r="E100" t="s">
        <v>9</v>
      </c>
      <c r="F100" t="s">
        <v>208</v>
      </c>
    </row>
    <row r="101" spans="1:6" x14ac:dyDescent="0.3">
      <c r="A101" t="s">
        <v>209</v>
      </c>
      <c r="B101">
        <f>108.3/160*240</f>
        <v>162.44999999999999</v>
      </c>
      <c r="C101" t="s">
        <v>8</v>
      </c>
      <c r="D101">
        <f>160/160*240</f>
        <v>240</v>
      </c>
      <c r="E101" t="s">
        <v>9</v>
      </c>
      <c r="F101" t="s">
        <v>210</v>
      </c>
    </row>
    <row r="102" spans="1:6" x14ac:dyDescent="0.3">
      <c r="A102" t="s">
        <v>211</v>
      </c>
      <c r="B102">
        <f>2.54*(100/70)</f>
        <v>3.6285714285714286</v>
      </c>
      <c r="C102" t="s">
        <v>26</v>
      </c>
      <c r="D102">
        <v>100</v>
      </c>
      <c r="E102" t="s">
        <v>9</v>
      </c>
      <c r="F102" t="s">
        <v>212</v>
      </c>
    </row>
    <row r="103" spans="1:6" x14ac:dyDescent="0.3">
      <c r="A103" t="s">
        <v>213</v>
      </c>
      <c r="B103">
        <f>4.52/415.8*1200</f>
        <v>13.044733044733043</v>
      </c>
      <c r="C103" t="s">
        <v>26</v>
      </c>
      <c r="D103">
        <f>6*69.3/415.8*1200</f>
        <v>1199.9999999999998</v>
      </c>
      <c r="E103" t="s">
        <v>9</v>
      </c>
      <c r="F103" t="s">
        <v>214</v>
      </c>
    </row>
    <row r="104" spans="1:6" x14ac:dyDescent="0.3">
      <c r="A104" t="s">
        <v>215</v>
      </c>
      <c r="B104">
        <f>81.98/800*2000</f>
        <v>204.95000000000002</v>
      </c>
      <c r="C104" t="s">
        <v>26</v>
      </c>
      <c r="D104">
        <f>800/800*2000</f>
        <v>2000</v>
      </c>
      <c r="E104" t="s">
        <v>9</v>
      </c>
      <c r="F104" t="s">
        <v>216</v>
      </c>
    </row>
    <row r="105" spans="1:6" x14ac:dyDescent="0.3">
      <c r="A105" t="s">
        <v>217</v>
      </c>
      <c r="B105">
        <v>5.7</v>
      </c>
      <c r="C105" t="s">
        <v>26</v>
      </c>
      <c r="D105">
        <v>200</v>
      </c>
      <c r="E105" t="s">
        <v>9</v>
      </c>
      <c r="F105" t="s">
        <v>218</v>
      </c>
    </row>
    <row r="106" spans="1:6" x14ac:dyDescent="0.3">
      <c r="A106" t="s">
        <v>219</v>
      </c>
      <c r="B106">
        <v>3.18</v>
      </c>
      <c r="C106" t="s">
        <v>26</v>
      </c>
      <c r="D106">
        <v>500</v>
      </c>
      <c r="E106" t="s">
        <v>9</v>
      </c>
      <c r="F106" t="s">
        <v>220</v>
      </c>
    </row>
    <row r="107" spans="1:6" x14ac:dyDescent="0.3">
      <c r="A107" t="s">
        <v>221</v>
      </c>
      <c r="B107">
        <f>1.34*6</f>
        <v>8.0400000000000009</v>
      </c>
      <c r="C107" t="s">
        <v>26</v>
      </c>
      <c r="D107">
        <f>250*6</f>
        <v>1500</v>
      </c>
      <c r="E107" t="s">
        <v>9</v>
      </c>
      <c r="F107" t="s">
        <v>222</v>
      </c>
    </row>
    <row r="108" spans="1:6" x14ac:dyDescent="0.3">
      <c r="A108" t="s">
        <v>223</v>
      </c>
      <c r="B108">
        <v>133</v>
      </c>
      <c r="C108" t="s">
        <v>8</v>
      </c>
      <c r="D108">
        <v>100</v>
      </c>
      <c r="E108" t="s">
        <v>9</v>
      </c>
      <c r="F108" t="s">
        <v>224</v>
      </c>
    </row>
    <row r="109" spans="1:6" x14ac:dyDescent="0.3">
      <c r="A109" t="s">
        <v>225</v>
      </c>
      <c r="B109">
        <f>5/100</f>
        <v>0.05</v>
      </c>
      <c r="C109" t="s">
        <v>26</v>
      </c>
      <c r="D109">
        <v>1000</v>
      </c>
      <c r="E109" t="s">
        <v>9</v>
      </c>
      <c r="F109" t="s">
        <v>226</v>
      </c>
    </row>
    <row r="110" spans="1:6" x14ac:dyDescent="0.3">
      <c r="A110" t="s">
        <v>230</v>
      </c>
      <c r="B110">
        <f>335/25*40</f>
        <v>536</v>
      </c>
      <c r="C110" t="s">
        <v>8</v>
      </c>
      <c r="D110">
        <f>25/25*40</f>
        <v>40</v>
      </c>
      <c r="E110" t="s">
        <v>9</v>
      </c>
      <c r="F110" t="s">
        <v>231</v>
      </c>
    </row>
    <row r="111" spans="1:6" x14ac:dyDescent="0.3">
      <c r="A111" t="s">
        <v>232</v>
      </c>
      <c r="B111">
        <f>2.5</f>
        <v>2.5</v>
      </c>
      <c r="C111" t="s">
        <v>8</v>
      </c>
      <c r="D111">
        <f>1.5</f>
        <v>1.5</v>
      </c>
      <c r="E111" t="s">
        <v>9</v>
      </c>
      <c r="F111" t="s">
        <v>233</v>
      </c>
    </row>
    <row r="112" spans="1:6" x14ac:dyDescent="0.3">
      <c r="A112" t="s">
        <v>234</v>
      </c>
      <c r="B112">
        <f>22.5</f>
        <v>22.5</v>
      </c>
      <c r="C112" t="s">
        <v>44</v>
      </c>
      <c r="D112">
        <v>1200</v>
      </c>
      <c r="E112" t="s">
        <v>9</v>
      </c>
      <c r="F112" s="3" t="s">
        <v>235</v>
      </c>
    </row>
    <row r="113" spans="1:6" x14ac:dyDescent="0.3">
      <c r="A113" t="s">
        <v>236</v>
      </c>
      <c r="B113">
        <v>41.4</v>
      </c>
      <c r="C113" t="s">
        <v>44</v>
      </c>
      <c r="D113">
        <v>500</v>
      </c>
      <c r="E113" t="s">
        <v>9</v>
      </c>
      <c r="F113" t="s">
        <v>237</v>
      </c>
    </row>
    <row r="114" spans="1:6" x14ac:dyDescent="0.3">
      <c r="A114" t="s">
        <v>238</v>
      </c>
      <c r="B114">
        <f>77/49*100</f>
        <v>157.14285714285714</v>
      </c>
      <c r="C114" t="s">
        <v>8</v>
      </c>
      <c r="D114">
        <f>49/49*100</f>
        <v>100</v>
      </c>
      <c r="E114" t="s">
        <v>9</v>
      </c>
      <c r="F114" t="s">
        <v>239</v>
      </c>
    </row>
    <row r="115" spans="1:6" x14ac:dyDescent="0.3">
      <c r="A115" t="s">
        <v>240</v>
      </c>
      <c r="B115">
        <f>104/75*600</f>
        <v>832</v>
      </c>
      <c r="C115" t="s">
        <v>8</v>
      </c>
      <c r="D115">
        <f>75/75*600</f>
        <v>600</v>
      </c>
      <c r="E115" t="s">
        <v>9</v>
      </c>
      <c r="F115" t="s">
        <v>241</v>
      </c>
    </row>
    <row r="116" spans="1:6" x14ac:dyDescent="0.3">
      <c r="A116" t="s">
        <v>242</v>
      </c>
      <c r="B116">
        <v>14</v>
      </c>
      <c r="C116" t="s">
        <v>16</v>
      </c>
      <c r="D116">
        <v>2</v>
      </c>
      <c r="E116" t="s">
        <v>9</v>
      </c>
      <c r="F116" t="s">
        <v>243</v>
      </c>
    </row>
    <row r="117" spans="1:6" x14ac:dyDescent="0.3">
      <c r="A117" t="s">
        <v>244</v>
      </c>
      <c r="B117">
        <f>67.05/6</f>
        <v>11.174999999999999</v>
      </c>
      <c r="C117" t="s">
        <v>8</v>
      </c>
      <c r="D117">
        <f>60/6</f>
        <v>10</v>
      </c>
      <c r="E117" t="s">
        <v>9</v>
      </c>
      <c r="F117" t="s">
        <v>245</v>
      </c>
    </row>
    <row r="118" spans="1:6" x14ac:dyDescent="0.3">
      <c r="A118" t="s">
        <v>246</v>
      </c>
      <c r="B118">
        <f>6.21*2</f>
        <v>12.42</v>
      </c>
      <c r="C118" t="s">
        <v>28</v>
      </c>
      <c r="D118">
        <f>40*2</f>
        <v>80</v>
      </c>
      <c r="E118" t="s">
        <v>9</v>
      </c>
      <c r="F118" t="s">
        <v>247</v>
      </c>
    </row>
    <row r="119" spans="1:6" x14ac:dyDescent="0.3">
      <c r="A119" t="s">
        <v>248</v>
      </c>
      <c r="B119">
        <v>18.3</v>
      </c>
      <c r="C119" t="s">
        <v>8</v>
      </c>
      <c r="D119">
        <v>9</v>
      </c>
      <c r="E119" t="s">
        <v>9</v>
      </c>
      <c r="F119" t="s">
        <v>249</v>
      </c>
    </row>
    <row r="120" spans="1:6" x14ac:dyDescent="0.3">
      <c r="A120" t="s">
        <v>250</v>
      </c>
      <c r="B120">
        <f>3.35/2</f>
        <v>1.675</v>
      </c>
      <c r="C120" t="s">
        <v>18</v>
      </c>
      <c r="D120">
        <f>1600/2</f>
        <v>800</v>
      </c>
      <c r="E120" t="s">
        <v>9</v>
      </c>
      <c r="F120" t="s">
        <v>251</v>
      </c>
    </row>
    <row r="121" spans="1:6" x14ac:dyDescent="0.3">
      <c r="A121" t="s">
        <v>252</v>
      </c>
      <c r="B121">
        <f>15.49*20</f>
        <v>309.8</v>
      </c>
      <c r="C121" t="s">
        <v>8</v>
      </c>
      <c r="D121">
        <f>1*20</f>
        <v>20</v>
      </c>
      <c r="E121" t="s">
        <v>9</v>
      </c>
      <c r="F121" t="s">
        <v>253</v>
      </c>
    </row>
    <row r="122" spans="1:6" x14ac:dyDescent="0.3">
      <c r="A122" t="s">
        <v>254</v>
      </c>
      <c r="B122">
        <v>2.0499999999999998</v>
      </c>
      <c r="C122" t="s">
        <v>8</v>
      </c>
      <c r="D122">
        <f>0.15*73</f>
        <v>10.95</v>
      </c>
      <c r="E122" t="s">
        <v>9</v>
      </c>
      <c r="F122" t="s">
        <v>255</v>
      </c>
    </row>
    <row r="123" spans="1:6" x14ac:dyDescent="0.3">
      <c r="A123" t="s">
        <v>256</v>
      </c>
      <c r="B123">
        <v>315</v>
      </c>
      <c r="C123" t="s">
        <v>257</v>
      </c>
      <c r="D123">
        <v>101</v>
      </c>
      <c r="E123" t="s">
        <v>9</v>
      </c>
      <c r="F123" t="s">
        <v>258</v>
      </c>
    </row>
    <row r="124" spans="1:6" x14ac:dyDescent="0.3">
      <c r="A124" t="s">
        <v>259</v>
      </c>
      <c r="B124">
        <f>457*2</f>
        <v>914</v>
      </c>
      <c r="C124" t="s">
        <v>8</v>
      </c>
      <c r="D124">
        <f>100*2</f>
        <v>200</v>
      </c>
      <c r="E124" t="s">
        <v>9</v>
      </c>
      <c r="F124" t="s">
        <v>260</v>
      </c>
    </row>
    <row r="125" spans="1:6" x14ac:dyDescent="0.3">
      <c r="A125" t="s">
        <v>261</v>
      </c>
      <c r="B125">
        <f>92.7*2</f>
        <v>185.4</v>
      </c>
      <c r="C125" t="s">
        <v>8</v>
      </c>
      <c r="D125">
        <f>50*2</f>
        <v>100</v>
      </c>
      <c r="E125" t="s">
        <v>9</v>
      </c>
      <c r="F125" t="s">
        <v>262</v>
      </c>
    </row>
    <row r="126" spans="1:6" x14ac:dyDescent="0.3">
      <c r="A126" t="s">
        <v>263</v>
      </c>
      <c r="B126">
        <f>45.5*4</f>
        <v>182</v>
      </c>
      <c r="C126" t="s">
        <v>28</v>
      </c>
      <c r="D126">
        <f>20*4</f>
        <v>80</v>
      </c>
      <c r="E126" t="s">
        <v>9</v>
      </c>
      <c r="F126" t="s">
        <v>264</v>
      </c>
    </row>
    <row r="127" spans="1:6" x14ac:dyDescent="0.3">
      <c r="A127" t="s">
        <v>265</v>
      </c>
      <c r="B127">
        <v>180</v>
      </c>
      <c r="C127" t="s">
        <v>12</v>
      </c>
      <c r="D127">
        <v>2</v>
      </c>
      <c r="E127" t="s">
        <v>9</v>
      </c>
      <c r="F127" t="s">
        <v>266</v>
      </c>
    </row>
    <row r="128" spans="1:6" x14ac:dyDescent="0.3">
      <c r="A128" t="s">
        <v>267</v>
      </c>
      <c r="B128">
        <f>10.5*2</f>
        <v>21</v>
      </c>
      <c r="C128" t="s">
        <v>26</v>
      </c>
      <c r="D128">
        <f>300*2</f>
        <v>600</v>
      </c>
      <c r="E128" t="s">
        <v>9</v>
      </c>
      <c r="F128" t="s">
        <v>268</v>
      </c>
    </row>
    <row r="129" spans="1:6" x14ac:dyDescent="0.3">
      <c r="A129" t="s">
        <v>270</v>
      </c>
      <c r="B129">
        <v>11.6</v>
      </c>
      <c r="C129" t="s">
        <v>8</v>
      </c>
      <c r="D129">
        <f>0.13*72.8</f>
        <v>9.4640000000000004</v>
      </c>
      <c r="E129" t="s">
        <v>9</v>
      </c>
      <c r="F129" t="s">
        <v>269</v>
      </c>
    </row>
    <row r="130" spans="1:6" x14ac:dyDescent="0.3">
      <c r="A130" t="s">
        <v>271</v>
      </c>
      <c r="B130">
        <f>12/2</f>
        <v>6</v>
      </c>
      <c r="C130" t="s">
        <v>8</v>
      </c>
      <c r="D130">
        <f>100/2</f>
        <v>50</v>
      </c>
      <c r="E130" t="s">
        <v>9</v>
      </c>
      <c r="F130" t="s">
        <v>272</v>
      </c>
    </row>
    <row r="131" spans="1:6" x14ac:dyDescent="0.3">
      <c r="A131" t="s">
        <v>273</v>
      </c>
      <c r="B131">
        <v>15</v>
      </c>
      <c r="C131" t="s">
        <v>18</v>
      </c>
      <c r="D131">
        <v>600</v>
      </c>
      <c r="E131" t="s">
        <v>9</v>
      </c>
      <c r="F131" t="s">
        <v>274</v>
      </c>
    </row>
    <row r="132" spans="1:6" x14ac:dyDescent="0.3">
      <c r="A132" t="s">
        <v>276</v>
      </c>
      <c r="B132">
        <f>2*1.5</f>
        <v>3</v>
      </c>
      <c r="C132" t="s">
        <v>18</v>
      </c>
      <c r="D132">
        <f>400*1.5</f>
        <v>600</v>
      </c>
      <c r="E132" t="s">
        <v>9</v>
      </c>
      <c r="F132" t="s">
        <v>275</v>
      </c>
    </row>
    <row r="133" spans="1:6" x14ac:dyDescent="0.3">
      <c r="A133" t="s">
        <v>277</v>
      </c>
      <c r="B133">
        <v>1.47</v>
      </c>
      <c r="C133" t="s">
        <v>18</v>
      </c>
      <c r="D133">
        <v>100</v>
      </c>
      <c r="E133" t="s">
        <v>9</v>
      </c>
      <c r="F133" t="s">
        <v>278</v>
      </c>
    </row>
    <row r="134" spans="1:6" x14ac:dyDescent="0.3">
      <c r="A134" t="s">
        <v>279</v>
      </c>
      <c r="B134">
        <v>9.85</v>
      </c>
      <c r="C134" t="s">
        <v>18</v>
      </c>
      <c r="D134">
        <v>200</v>
      </c>
      <c r="E134" t="s">
        <v>9</v>
      </c>
      <c r="F134" t="s">
        <v>280</v>
      </c>
    </row>
    <row r="135" spans="1:6" x14ac:dyDescent="0.3">
      <c r="A135" t="s">
        <v>281</v>
      </c>
      <c r="B135">
        <f>1748*2</f>
        <v>3496</v>
      </c>
      <c r="C135" t="s">
        <v>8</v>
      </c>
      <c r="D135">
        <f>400*2</f>
        <v>800</v>
      </c>
      <c r="E135" t="s">
        <v>9</v>
      </c>
      <c r="F135" t="s">
        <v>282</v>
      </c>
    </row>
    <row r="136" spans="1:6" x14ac:dyDescent="0.3">
      <c r="A136" t="s">
        <v>283</v>
      </c>
      <c r="B136">
        <f>0.53/800*1000</f>
        <v>0.66249999999999998</v>
      </c>
      <c r="C136" t="s">
        <v>26</v>
      </c>
      <c r="D136">
        <f>800/800*1000</f>
        <v>1000</v>
      </c>
      <c r="E136" t="s">
        <v>9</v>
      </c>
      <c r="F136" t="s">
        <v>284</v>
      </c>
    </row>
    <row r="137" spans="1:6" x14ac:dyDescent="0.3">
      <c r="A137" t="s">
        <v>285</v>
      </c>
      <c r="B137">
        <f>7.95/400*600</f>
        <v>11.925000000000001</v>
      </c>
      <c r="C137" t="s">
        <v>26</v>
      </c>
      <c r="D137">
        <f>400/400*600</f>
        <v>600</v>
      </c>
      <c r="E137" t="s">
        <v>9</v>
      </c>
      <c r="F137" t="s">
        <v>284</v>
      </c>
    </row>
    <row r="138" spans="1:6" x14ac:dyDescent="0.3">
      <c r="A138" t="s">
        <v>286</v>
      </c>
      <c r="B138">
        <v>3.9</v>
      </c>
      <c r="C138" t="s">
        <v>18</v>
      </c>
      <c r="D138">
        <v>750</v>
      </c>
      <c r="E138" t="s">
        <v>9</v>
      </c>
      <c r="F138" t="s">
        <v>287</v>
      </c>
    </row>
    <row r="139" spans="1:6" x14ac:dyDescent="0.3">
      <c r="A139" t="s">
        <v>288</v>
      </c>
      <c r="B139">
        <v>24.12</v>
      </c>
      <c r="C139" t="s">
        <v>26</v>
      </c>
      <c r="D139">
        <v>600</v>
      </c>
      <c r="E139" t="s">
        <v>9</v>
      </c>
      <c r="F139" t="s">
        <v>289</v>
      </c>
    </row>
    <row r="140" spans="1:6" x14ac:dyDescent="0.3">
      <c r="A140" t="s">
        <v>290</v>
      </c>
      <c r="B140">
        <f>2.5*2</f>
        <v>5</v>
      </c>
      <c r="C140" t="s">
        <v>44</v>
      </c>
      <c r="D140">
        <f>200*2</f>
        <v>400</v>
      </c>
      <c r="E140" t="s">
        <v>9</v>
      </c>
      <c r="F140" t="s">
        <v>291</v>
      </c>
    </row>
    <row r="141" spans="1:6" x14ac:dyDescent="0.3">
      <c r="A141" t="s">
        <v>292</v>
      </c>
      <c r="B141">
        <v>1000</v>
      </c>
      <c r="C141" t="s">
        <v>8</v>
      </c>
      <c r="D141">
        <v>300</v>
      </c>
      <c r="E141" t="s">
        <v>9</v>
      </c>
      <c r="F141" t="s">
        <v>293</v>
      </c>
    </row>
    <row r="142" spans="1:6" x14ac:dyDescent="0.3">
      <c r="A142" t="s">
        <v>294</v>
      </c>
      <c r="B142">
        <v>12</v>
      </c>
      <c r="C142" t="s">
        <v>26</v>
      </c>
      <c r="D142">
        <v>1000</v>
      </c>
      <c r="E142" t="s">
        <v>9</v>
      </c>
      <c r="F142" t="s">
        <v>295</v>
      </c>
    </row>
    <row r="143" spans="1:6" x14ac:dyDescent="0.3">
      <c r="A143" t="s">
        <v>296</v>
      </c>
      <c r="B143">
        <f>0.9/50*800</f>
        <v>14.400000000000002</v>
      </c>
      <c r="C143" t="s">
        <v>26</v>
      </c>
      <c r="D143">
        <f>50/50*800</f>
        <v>800</v>
      </c>
      <c r="E143" t="s">
        <v>9</v>
      </c>
      <c r="F143" t="s">
        <v>298</v>
      </c>
    </row>
    <row r="144" spans="1:6" x14ac:dyDescent="0.3">
      <c r="A144" t="s">
        <v>297</v>
      </c>
      <c r="B144">
        <f>5.05*2</f>
        <v>10.1</v>
      </c>
      <c r="C144" t="s">
        <v>18</v>
      </c>
      <c r="D144">
        <f>200*2</f>
        <v>400</v>
      </c>
      <c r="E144" t="s">
        <v>9</v>
      </c>
      <c r="F144" t="s">
        <v>299</v>
      </c>
    </row>
    <row r="145" spans="1:6" x14ac:dyDescent="0.3">
      <c r="A145" t="s">
        <v>300</v>
      </c>
      <c r="B145">
        <v>4.5599999999999996</v>
      </c>
      <c r="C145" t="s">
        <v>18</v>
      </c>
      <c r="D145">
        <v>600</v>
      </c>
      <c r="E145" t="s">
        <v>9</v>
      </c>
      <c r="F145" t="s">
        <v>301</v>
      </c>
    </row>
    <row r="146" spans="1:6" x14ac:dyDescent="0.3">
      <c r="A146" t="s">
        <v>302</v>
      </c>
      <c r="B146">
        <v>3798</v>
      </c>
      <c r="C146" t="s">
        <v>28</v>
      </c>
      <c r="D146">
        <v>300</v>
      </c>
      <c r="E146" t="s">
        <v>9</v>
      </c>
      <c r="F146" t="s">
        <v>303</v>
      </c>
    </row>
    <row r="147" spans="1:6" x14ac:dyDescent="0.3">
      <c r="A147" t="s">
        <v>304</v>
      </c>
      <c r="B147">
        <f>248*2</f>
        <v>496</v>
      </c>
      <c r="C147" t="s">
        <v>8</v>
      </c>
      <c r="D147">
        <f>10*3</f>
        <v>30</v>
      </c>
      <c r="E147" t="s">
        <v>9</v>
      </c>
      <c r="F147" t="s">
        <v>305</v>
      </c>
    </row>
    <row r="148" spans="1:6" x14ac:dyDescent="0.3">
      <c r="A148" t="s">
        <v>306</v>
      </c>
      <c r="B148">
        <v>2.5</v>
      </c>
      <c r="C148" t="s">
        <v>18</v>
      </c>
      <c r="D148">
        <v>20</v>
      </c>
      <c r="E148" t="s">
        <v>9</v>
      </c>
      <c r="F148" t="s">
        <v>307</v>
      </c>
    </row>
    <row r="149" spans="1:6" x14ac:dyDescent="0.3">
      <c r="A149" t="s">
        <v>308</v>
      </c>
      <c r="B149">
        <f>191*4</f>
        <v>764</v>
      </c>
      <c r="C149" t="s">
        <v>8</v>
      </c>
      <c r="D149">
        <f>2*4</f>
        <v>8</v>
      </c>
      <c r="E149" t="s">
        <v>9</v>
      </c>
      <c r="F149" t="s">
        <v>309</v>
      </c>
    </row>
    <row r="150" spans="1:6" x14ac:dyDescent="0.3">
      <c r="A150" t="s">
        <v>310</v>
      </c>
      <c r="B150">
        <v>51.8</v>
      </c>
      <c r="C150" t="s">
        <v>18</v>
      </c>
      <c r="D150">
        <v>600</v>
      </c>
      <c r="E150" t="s">
        <v>9</v>
      </c>
      <c r="F150" t="s">
        <v>311</v>
      </c>
    </row>
    <row r="151" spans="1:6" x14ac:dyDescent="0.3">
      <c r="A151" t="s">
        <v>312</v>
      </c>
      <c r="B151">
        <f>159*2</f>
        <v>318</v>
      </c>
      <c r="C151" t="s">
        <v>8</v>
      </c>
      <c r="D151">
        <f>250*2</f>
        <v>500</v>
      </c>
      <c r="E151" t="s">
        <v>9</v>
      </c>
      <c r="F151" t="s">
        <v>313</v>
      </c>
    </row>
    <row r="152" spans="1:6" x14ac:dyDescent="0.3">
      <c r="A152" t="s">
        <v>314</v>
      </c>
      <c r="B152">
        <f>38.7</f>
        <v>38.700000000000003</v>
      </c>
      <c r="C152" t="s">
        <v>18</v>
      </c>
      <c r="D152">
        <f>27*73</f>
        <v>1971</v>
      </c>
      <c r="E152" t="s">
        <v>9</v>
      </c>
      <c r="F152" t="s">
        <v>315</v>
      </c>
    </row>
    <row r="153" spans="1:6" x14ac:dyDescent="0.3">
      <c r="A153" t="s">
        <v>316</v>
      </c>
      <c r="B153">
        <v>796</v>
      </c>
      <c r="C153" t="s">
        <v>8</v>
      </c>
      <c r="D153">
        <v>8</v>
      </c>
      <c r="E153" t="s">
        <v>9</v>
      </c>
      <c r="F153" t="s">
        <v>317</v>
      </c>
    </row>
    <row r="154" spans="1:6" x14ac:dyDescent="0.3">
      <c r="A154" t="s">
        <v>318</v>
      </c>
      <c r="B154">
        <v>22</v>
      </c>
      <c r="C154" t="s">
        <v>8</v>
      </c>
      <c r="D154">
        <v>50</v>
      </c>
      <c r="E154" t="s">
        <v>9</v>
      </c>
      <c r="F154" t="s">
        <v>319</v>
      </c>
    </row>
    <row r="155" spans="1:6" x14ac:dyDescent="0.3">
      <c r="A155" t="s">
        <v>320</v>
      </c>
      <c r="B155">
        <f>13*6</f>
        <v>78</v>
      </c>
      <c r="C155" t="s">
        <v>26</v>
      </c>
      <c r="D155">
        <f>100*6</f>
        <v>600</v>
      </c>
      <c r="E155" t="s">
        <v>9</v>
      </c>
      <c r="F155" t="s">
        <v>321</v>
      </c>
    </row>
    <row r="156" spans="1:6" x14ac:dyDescent="0.3">
      <c r="A156" t="s">
        <v>322</v>
      </c>
      <c r="B156">
        <f>37.9*5</f>
        <v>189.5</v>
      </c>
      <c r="C156" t="s">
        <v>8</v>
      </c>
      <c r="D156">
        <f>100*5</f>
        <v>500</v>
      </c>
      <c r="E156" t="s">
        <v>9</v>
      </c>
      <c r="F156" t="s">
        <v>323</v>
      </c>
    </row>
    <row r="157" spans="1:6" x14ac:dyDescent="0.3">
      <c r="A157" t="s">
        <v>324</v>
      </c>
      <c r="B157">
        <f>1.56*2.5</f>
        <v>3.9000000000000004</v>
      </c>
      <c r="C157" t="s">
        <v>18</v>
      </c>
      <c r="D157">
        <f>100*2.5</f>
        <v>250</v>
      </c>
      <c r="E157" t="s">
        <v>9</v>
      </c>
      <c r="F157" t="s">
        <v>325</v>
      </c>
    </row>
    <row r="158" spans="1:6" x14ac:dyDescent="0.3">
      <c r="A158" t="s">
        <v>326</v>
      </c>
      <c r="B158">
        <f>81*6</f>
        <v>486</v>
      </c>
      <c r="C158" t="s">
        <v>8</v>
      </c>
      <c r="D158">
        <f>10*6</f>
        <v>60</v>
      </c>
      <c r="E158" t="s">
        <v>9</v>
      </c>
      <c r="F158" t="s">
        <v>327</v>
      </c>
    </row>
    <row r="159" spans="1:6" x14ac:dyDescent="0.3">
      <c r="A159" t="s">
        <v>328</v>
      </c>
      <c r="B159">
        <v>0.3</v>
      </c>
      <c r="C159" t="s">
        <v>26</v>
      </c>
      <c r="D159">
        <v>600</v>
      </c>
      <c r="E159" t="s">
        <v>9</v>
      </c>
      <c r="F159" t="s">
        <v>329</v>
      </c>
    </row>
    <row r="160" spans="1:6" x14ac:dyDescent="0.3">
      <c r="A160" t="s">
        <v>330</v>
      </c>
      <c r="B160">
        <v>3.49</v>
      </c>
      <c r="C160" t="s">
        <v>8</v>
      </c>
      <c r="D160">
        <v>10</v>
      </c>
      <c r="E160" t="s">
        <v>9</v>
      </c>
      <c r="F160" t="s">
        <v>331</v>
      </c>
    </row>
    <row r="161" spans="1:6" x14ac:dyDescent="0.3">
      <c r="A161" t="s">
        <v>332</v>
      </c>
      <c r="B161">
        <f>13.7/3*5</f>
        <v>22.833333333333332</v>
      </c>
      <c r="C161" t="s">
        <v>8</v>
      </c>
      <c r="D161">
        <f>30/3*5</f>
        <v>50</v>
      </c>
      <c r="E161" t="s">
        <v>9</v>
      </c>
      <c r="F161" t="s">
        <v>333</v>
      </c>
    </row>
    <row r="162" spans="1:6" x14ac:dyDescent="0.3">
      <c r="A162" t="s">
        <v>334</v>
      </c>
      <c r="B162">
        <v>4.0999999999999996</v>
      </c>
      <c r="C162" t="s">
        <v>8</v>
      </c>
      <c r="D162">
        <v>4</v>
      </c>
      <c r="E162" t="s">
        <v>9</v>
      </c>
      <c r="F162" t="s">
        <v>335</v>
      </c>
    </row>
    <row r="163" spans="1:6" x14ac:dyDescent="0.3">
      <c r="A163" t="s">
        <v>336</v>
      </c>
      <c r="B163">
        <f>328*0.01</f>
        <v>3.2800000000000002</v>
      </c>
      <c r="C163" t="s">
        <v>8</v>
      </c>
      <c r="D163">
        <f>0.7/1000*73</f>
        <v>5.11E-2</v>
      </c>
      <c r="E163" t="s">
        <v>9</v>
      </c>
      <c r="F163" t="s">
        <v>337</v>
      </c>
    </row>
    <row r="164" spans="1:6" x14ac:dyDescent="0.3">
      <c r="A164" t="s">
        <v>338</v>
      </c>
      <c r="B164">
        <v>13.9</v>
      </c>
      <c r="C164" t="s">
        <v>26</v>
      </c>
      <c r="D164">
        <v>100</v>
      </c>
      <c r="E164" t="s">
        <v>9</v>
      </c>
      <c r="F164" t="s">
        <v>339</v>
      </c>
    </row>
    <row r="165" spans="1:6" x14ac:dyDescent="0.3">
      <c r="A165" t="s">
        <v>340</v>
      </c>
      <c r="B165">
        <f>18.82/8*12</f>
        <v>28.23</v>
      </c>
      <c r="C165" t="s">
        <v>8</v>
      </c>
      <c r="D165">
        <f>8/8*12</f>
        <v>12</v>
      </c>
      <c r="E165" t="s">
        <v>9</v>
      </c>
      <c r="F165" t="s">
        <v>341</v>
      </c>
    </row>
    <row r="166" spans="1:6" x14ac:dyDescent="0.3">
      <c r="A166" t="s">
        <v>342</v>
      </c>
      <c r="B166">
        <v>172.5</v>
      </c>
      <c r="C166" t="s">
        <v>8</v>
      </c>
      <c r="D166">
        <v>40</v>
      </c>
      <c r="E166" t="s">
        <v>9</v>
      </c>
      <c r="F166" t="s">
        <v>343</v>
      </c>
    </row>
    <row r="167" spans="1:6" x14ac:dyDescent="0.3">
      <c r="A167" t="s">
        <v>344</v>
      </c>
      <c r="B167">
        <v>104</v>
      </c>
      <c r="C167" t="s">
        <v>8</v>
      </c>
      <c r="D167">
        <v>30</v>
      </c>
      <c r="E167" t="s">
        <v>9</v>
      </c>
      <c r="F167" t="s">
        <v>345</v>
      </c>
    </row>
    <row r="168" spans="1:6" x14ac:dyDescent="0.3">
      <c r="A168" t="s">
        <v>346</v>
      </c>
      <c r="B168">
        <f>0.48/7.5*30</f>
        <v>1.92</v>
      </c>
      <c r="C168" t="s">
        <v>44</v>
      </c>
      <c r="D168">
        <f>7.7/7.7*30</f>
        <v>30</v>
      </c>
      <c r="E168" t="s">
        <v>9</v>
      </c>
      <c r="F168" t="s">
        <v>347</v>
      </c>
    </row>
    <row r="169" spans="1:6" x14ac:dyDescent="0.3">
      <c r="A169" t="s">
        <v>348</v>
      </c>
      <c r="B169">
        <f>1546*2</f>
        <v>3092</v>
      </c>
      <c r="C169" t="s">
        <v>8</v>
      </c>
      <c r="D169">
        <f>100*2</f>
        <v>200</v>
      </c>
      <c r="E169" t="s">
        <v>9</v>
      </c>
      <c r="F169" t="s">
        <v>349</v>
      </c>
    </row>
    <row r="170" spans="1:6" x14ac:dyDescent="0.3">
      <c r="A170" t="s">
        <v>350</v>
      </c>
      <c r="B170">
        <v>1.7</v>
      </c>
      <c r="C170" t="s">
        <v>8</v>
      </c>
      <c r="D170">
        <v>4</v>
      </c>
      <c r="E170" t="s">
        <v>9</v>
      </c>
      <c r="F170" t="s">
        <v>351</v>
      </c>
    </row>
    <row r="171" spans="1:6" x14ac:dyDescent="0.3">
      <c r="A171" t="s">
        <v>352</v>
      </c>
      <c r="B171">
        <v>697</v>
      </c>
      <c r="C171" t="s">
        <v>8</v>
      </c>
      <c r="D171">
        <v>40</v>
      </c>
      <c r="E171" t="s">
        <v>9</v>
      </c>
      <c r="F171" t="s">
        <v>353</v>
      </c>
    </row>
    <row r="172" spans="1:6" x14ac:dyDescent="0.3">
      <c r="A172" t="s">
        <v>354</v>
      </c>
      <c r="B172">
        <f>2.54/1250*1500</f>
        <v>3.048</v>
      </c>
      <c r="C172" t="s">
        <v>18</v>
      </c>
      <c r="D172">
        <f>1250/1250*1500</f>
        <v>1500</v>
      </c>
      <c r="E172" t="s">
        <v>9</v>
      </c>
      <c r="F172" t="s">
        <v>356</v>
      </c>
    </row>
    <row r="173" spans="1:6" x14ac:dyDescent="0.3">
      <c r="A173" t="s">
        <v>355</v>
      </c>
      <c r="B173">
        <f>28.32/15*35</f>
        <v>66.08</v>
      </c>
      <c r="C173" t="s">
        <v>26</v>
      </c>
      <c r="D173">
        <f>15/15*35*73</f>
        <v>2555</v>
      </c>
      <c r="E173" t="s">
        <v>9</v>
      </c>
      <c r="F173" t="s">
        <v>357</v>
      </c>
    </row>
    <row r="174" spans="1:6" x14ac:dyDescent="0.3">
      <c r="A174" t="s">
        <v>358</v>
      </c>
      <c r="B174">
        <v>2.9</v>
      </c>
      <c r="C174" t="s">
        <v>26</v>
      </c>
      <c r="D174">
        <v>200</v>
      </c>
      <c r="E174" t="s">
        <v>9</v>
      </c>
      <c r="F174" t="s">
        <v>359</v>
      </c>
    </row>
    <row r="175" spans="1:6" x14ac:dyDescent="0.3">
      <c r="A175" t="s">
        <v>360</v>
      </c>
      <c r="B175">
        <v>465</v>
      </c>
      <c r="C175" t="s">
        <v>8</v>
      </c>
      <c r="D175">
        <v>80</v>
      </c>
      <c r="E175" t="s">
        <v>9</v>
      </c>
      <c r="F175" t="s">
        <v>361</v>
      </c>
    </row>
    <row r="176" spans="1:6" x14ac:dyDescent="0.3">
      <c r="A176" t="s">
        <v>362</v>
      </c>
      <c r="B176">
        <f>538/10*15</f>
        <v>807</v>
      </c>
      <c r="C176" t="s">
        <v>28</v>
      </c>
      <c r="D176">
        <f>10/10*15*73</f>
        <v>1095</v>
      </c>
      <c r="E176" t="s">
        <v>9</v>
      </c>
      <c r="F176" t="s">
        <v>363</v>
      </c>
    </row>
    <row r="177" spans="1:6" x14ac:dyDescent="0.3">
      <c r="A177" t="s">
        <v>364</v>
      </c>
      <c r="B177">
        <v>4.5</v>
      </c>
      <c r="C177" t="s">
        <v>26</v>
      </c>
      <c r="D177">
        <v>120</v>
      </c>
      <c r="E177" t="s">
        <v>9</v>
      </c>
      <c r="F177" t="s">
        <v>365</v>
      </c>
    </row>
    <row r="178" spans="1:6" x14ac:dyDescent="0.3">
      <c r="A178" t="s">
        <v>366</v>
      </c>
      <c r="B178">
        <v>1445</v>
      </c>
      <c r="C178" t="s">
        <v>28</v>
      </c>
      <c r="D178">
        <v>150</v>
      </c>
      <c r="E178" t="s">
        <v>9</v>
      </c>
      <c r="F178" t="s">
        <v>367</v>
      </c>
    </row>
    <row r="179" spans="1:6" x14ac:dyDescent="0.3">
      <c r="A179" t="s">
        <v>368</v>
      </c>
      <c r="B179">
        <f>1.95/150*200</f>
        <v>2.6</v>
      </c>
      <c r="C179" t="s">
        <v>26</v>
      </c>
      <c r="D179">
        <f>150/150*200</f>
        <v>200</v>
      </c>
      <c r="E179" t="s">
        <v>9</v>
      </c>
      <c r="F179" t="s">
        <v>369</v>
      </c>
    </row>
    <row r="180" spans="1:6" x14ac:dyDescent="0.3">
      <c r="A180" t="s">
        <v>370</v>
      </c>
      <c r="B180">
        <f>4.38/160*200</f>
        <v>5.4749999999999996</v>
      </c>
      <c r="C180" t="s">
        <v>26</v>
      </c>
      <c r="D180">
        <f>160/160*200</f>
        <v>200</v>
      </c>
      <c r="E180" t="s">
        <v>9</v>
      </c>
      <c r="F180" t="s">
        <v>371</v>
      </c>
    </row>
    <row r="181" spans="1:6" x14ac:dyDescent="0.3">
      <c r="A181" t="s">
        <v>372</v>
      </c>
      <c r="B181">
        <f>18*2</f>
        <v>36</v>
      </c>
      <c r="C181" t="s">
        <v>8</v>
      </c>
      <c r="D181">
        <f>15*2</f>
        <v>30</v>
      </c>
      <c r="E181" t="s">
        <v>9</v>
      </c>
      <c r="F181" t="s">
        <v>373</v>
      </c>
    </row>
    <row r="182" spans="1:6" x14ac:dyDescent="0.3">
      <c r="A182" t="s">
        <v>374</v>
      </c>
      <c r="B182">
        <v>16.36</v>
      </c>
      <c r="C182" t="s">
        <v>18</v>
      </c>
      <c r="D182">
        <v>250</v>
      </c>
      <c r="E182" t="s">
        <v>9</v>
      </c>
      <c r="F182" t="s">
        <v>375</v>
      </c>
    </row>
    <row r="183" spans="1:6" x14ac:dyDescent="0.3">
      <c r="A183" t="s">
        <v>376</v>
      </c>
      <c r="B183">
        <v>4.91</v>
      </c>
      <c r="C183" t="s">
        <v>26</v>
      </c>
      <c r="D183">
        <v>600</v>
      </c>
      <c r="E183" t="s">
        <v>9</v>
      </c>
      <c r="F183" t="s">
        <v>377</v>
      </c>
    </row>
    <row r="184" spans="1:6" x14ac:dyDescent="0.3">
      <c r="A184" t="s">
        <v>378</v>
      </c>
      <c r="B184">
        <f>20.6*2</f>
        <v>41.2</v>
      </c>
      <c r="C184" t="s">
        <v>28</v>
      </c>
      <c r="D184">
        <f>100*2</f>
        <v>200</v>
      </c>
      <c r="E184" t="s">
        <v>9</v>
      </c>
      <c r="F184" t="s">
        <v>379</v>
      </c>
    </row>
    <row r="185" spans="1:6" x14ac:dyDescent="0.3">
      <c r="A185" t="s">
        <v>380</v>
      </c>
      <c r="B185">
        <v>1491</v>
      </c>
      <c r="C185" t="s">
        <v>8</v>
      </c>
      <c r="D185">
        <v>45</v>
      </c>
      <c r="E185" t="s">
        <v>9</v>
      </c>
      <c r="F185" s="4" t="s">
        <v>381</v>
      </c>
    </row>
    <row r="186" spans="1:6" x14ac:dyDescent="0.3">
      <c r="A186" t="s">
        <v>382</v>
      </c>
      <c r="B186">
        <v>120.99</v>
      </c>
      <c r="C186" t="s">
        <v>8</v>
      </c>
      <c r="D186">
        <v>25</v>
      </c>
      <c r="E186" t="s">
        <v>9</v>
      </c>
      <c r="F186" t="s">
        <v>383</v>
      </c>
    </row>
    <row r="187" spans="1:6" x14ac:dyDescent="0.3">
      <c r="A187" t="s">
        <v>384</v>
      </c>
      <c r="B187">
        <f>296*2</f>
        <v>592</v>
      </c>
      <c r="C187" t="s">
        <v>8</v>
      </c>
      <c r="D187">
        <f>50*2</f>
        <v>100</v>
      </c>
      <c r="E187" t="s">
        <v>9</v>
      </c>
      <c r="F187" t="s">
        <v>385</v>
      </c>
    </row>
    <row r="188" spans="1:6" x14ac:dyDescent="0.3">
      <c r="A188" t="s">
        <v>386</v>
      </c>
      <c r="B188">
        <v>4.7</v>
      </c>
      <c r="C188" t="s">
        <v>8</v>
      </c>
      <c r="D188">
        <v>10</v>
      </c>
      <c r="E188" t="s">
        <v>9</v>
      </c>
      <c r="F188" t="s">
        <v>387</v>
      </c>
    </row>
    <row r="189" spans="1:6" x14ac:dyDescent="0.3">
      <c r="A189" t="s">
        <v>388</v>
      </c>
      <c r="B189">
        <f>290*(635/287)</f>
        <v>641.6376306620208</v>
      </c>
      <c r="C189" t="s">
        <v>28</v>
      </c>
      <c r="D189">
        <v>300</v>
      </c>
      <c r="E189" t="s">
        <v>9</v>
      </c>
      <c r="F189" t="s">
        <v>389</v>
      </c>
    </row>
    <row r="190" spans="1:6" x14ac:dyDescent="0.3">
      <c r="A190" t="s">
        <v>390</v>
      </c>
      <c r="B190">
        <v>0.86</v>
      </c>
      <c r="C190" t="s">
        <v>18</v>
      </c>
      <c r="D190">
        <v>10</v>
      </c>
      <c r="E190" t="s">
        <v>9</v>
      </c>
      <c r="F190" t="s">
        <v>391</v>
      </c>
    </row>
    <row r="191" spans="1:6" x14ac:dyDescent="0.3">
      <c r="A191" t="s">
        <v>392</v>
      </c>
      <c r="B191">
        <v>3068</v>
      </c>
      <c r="C191" t="s">
        <v>8</v>
      </c>
      <c r="D191">
        <v>400</v>
      </c>
      <c r="E191" t="s">
        <v>9</v>
      </c>
      <c r="F191" t="s">
        <v>393</v>
      </c>
    </row>
    <row r="192" spans="1:6" x14ac:dyDescent="0.3">
      <c r="A192" t="s">
        <v>394</v>
      </c>
      <c r="B192">
        <f>1400/15*10</f>
        <v>933.33333333333326</v>
      </c>
      <c r="C192" t="s">
        <v>28</v>
      </c>
      <c r="D192">
        <f>15/15*10</f>
        <v>10</v>
      </c>
      <c r="E192" t="s">
        <v>9</v>
      </c>
      <c r="F192" t="s">
        <v>395</v>
      </c>
    </row>
    <row r="193" spans="1:6" x14ac:dyDescent="0.3">
      <c r="A193" t="s">
        <v>396</v>
      </c>
      <c r="B193">
        <v>7.6</v>
      </c>
      <c r="C193" t="s">
        <v>26</v>
      </c>
      <c r="D193">
        <v>200</v>
      </c>
      <c r="E193" t="s">
        <v>9</v>
      </c>
      <c r="F193" t="s">
        <v>397</v>
      </c>
    </row>
    <row r="194" spans="1:6" x14ac:dyDescent="0.3">
      <c r="A194" t="s">
        <v>398</v>
      </c>
      <c r="B194">
        <v>367.5</v>
      </c>
      <c r="C194" t="s">
        <v>8</v>
      </c>
      <c r="D194">
        <v>10</v>
      </c>
      <c r="E194" t="s">
        <v>9</v>
      </c>
      <c r="F194" t="s">
        <v>399</v>
      </c>
    </row>
    <row r="195" spans="1:6" x14ac:dyDescent="0.3">
      <c r="A195" t="s">
        <v>400</v>
      </c>
      <c r="B195">
        <f>4.5/750*1000</f>
        <v>6</v>
      </c>
      <c r="C195" t="s">
        <v>44</v>
      </c>
      <c r="D195">
        <f>750/750*1000</f>
        <v>1000</v>
      </c>
      <c r="E195" t="s">
        <v>9</v>
      </c>
      <c r="F195" t="s">
        <v>401</v>
      </c>
    </row>
    <row r="196" spans="1:6" x14ac:dyDescent="0.3">
      <c r="A196" t="s">
        <v>402</v>
      </c>
      <c r="B196">
        <v>1.9</v>
      </c>
      <c r="C196" t="s">
        <v>26</v>
      </c>
      <c r="D196">
        <v>800</v>
      </c>
      <c r="E196" t="s">
        <v>9</v>
      </c>
      <c r="F196" t="s">
        <v>403</v>
      </c>
    </row>
    <row r="197" spans="1:6" x14ac:dyDescent="0.3">
      <c r="A197" t="s">
        <v>404</v>
      </c>
      <c r="B197">
        <f>6.7/60*100</f>
        <v>11.166666666666666</v>
      </c>
      <c r="C197" t="s">
        <v>18</v>
      </c>
      <c r="D197">
        <f>60/60*100</f>
        <v>100</v>
      </c>
      <c r="E197" t="s">
        <v>9</v>
      </c>
      <c r="F197" t="s">
        <v>405</v>
      </c>
    </row>
    <row r="198" spans="1:6" x14ac:dyDescent="0.3">
      <c r="A198" t="s">
        <v>406</v>
      </c>
      <c r="B198">
        <v>48.9</v>
      </c>
      <c r="C198" t="s">
        <v>8</v>
      </c>
      <c r="D198">
        <v>300</v>
      </c>
      <c r="E198" t="s">
        <v>9</v>
      </c>
      <c r="F198" t="s">
        <v>407</v>
      </c>
    </row>
    <row r="199" spans="1:6" x14ac:dyDescent="0.3">
      <c r="A199" t="s">
        <v>408</v>
      </c>
      <c r="B199">
        <f>9.88/387*800</f>
        <v>20.423772609819125</v>
      </c>
      <c r="C199" t="s">
        <v>26</v>
      </c>
      <c r="D199">
        <f>387/387*800</f>
        <v>800</v>
      </c>
      <c r="E199" t="s">
        <v>9</v>
      </c>
      <c r="F199" t="s">
        <v>409</v>
      </c>
    </row>
    <row r="200" spans="1:6" x14ac:dyDescent="0.3">
      <c r="A200" t="s">
        <v>410</v>
      </c>
      <c r="B200">
        <v>4</v>
      </c>
      <c r="C200" t="s">
        <v>18</v>
      </c>
      <c r="D200">
        <v>500</v>
      </c>
      <c r="E200" t="s">
        <v>9</v>
      </c>
      <c r="F200" t="s">
        <v>411</v>
      </c>
    </row>
    <row r="201" spans="1:6" x14ac:dyDescent="0.3">
      <c r="A201" t="s">
        <v>412</v>
      </c>
      <c r="B201">
        <v>1.3240000000000001</v>
      </c>
      <c r="C201" t="s">
        <v>26</v>
      </c>
      <c r="D201">
        <v>800</v>
      </c>
      <c r="E201" t="s">
        <v>9</v>
      </c>
      <c r="F201" t="s">
        <v>413</v>
      </c>
    </row>
    <row r="202" spans="1:6" x14ac:dyDescent="0.3">
      <c r="A202" t="s">
        <v>414</v>
      </c>
      <c r="B202">
        <v>14.1</v>
      </c>
      <c r="C202" t="s">
        <v>8</v>
      </c>
      <c r="D202">
        <v>30</v>
      </c>
      <c r="E202" t="s">
        <v>9</v>
      </c>
      <c r="F202" t="s">
        <v>415</v>
      </c>
    </row>
    <row r="203" spans="1:6" x14ac:dyDescent="0.3">
      <c r="A203" t="s">
        <v>416</v>
      </c>
      <c r="B203">
        <f>874*4</f>
        <v>3496</v>
      </c>
      <c r="C203" t="s">
        <v>8</v>
      </c>
      <c r="D203">
        <f>50*4</f>
        <v>200</v>
      </c>
      <c r="E203" t="s">
        <v>9</v>
      </c>
      <c r="F203" t="s">
        <v>417</v>
      </c>
    </row>
    <row r="204" spans="1:6" x14ac:dyDescent="0.3">
      <c r="A204" t="s">
        <v>418</v>
      </c>
      <c r="B204">
        <v>2.21</v>
      </c>
      <c r="C204" t="s">
        <v>8</v>
      </c>
      <c r="D204">
        <v>0.5</v>
      </c>
      <c r="E204" t="s">
        <v>9</v>
      </c>
      <c r="F204" t="s">
        <v>419</v>
      </c>
    </row>
    <row r="205" spans="1:6" x14ac:dyDescent="0.3">
      <c r="A205" s="5" t="s">
        <v>420</v>
      </c>
      <c r="B205">
        <f>0.19*4</f>
        <v>0.76</v>
      </c>
      <c r="C205" t="s">
        <v>28</v>
      </c>
      <c r="D205">
        <f>0.05*4</f>
        <v>0.2</v>
      </c>
      <c r="E205" t="s">
        <v>9</v>
      </c>
      <c r="F205" t="s">
        <v>421</v>
      </c>
    </row>
    <row r="206" spans="1:6" x14ac:dyDescent="0.3">
      <c r="A206" t="s">
        <v>422</v>
      </c>
      <c r="B206">
        <v>446</v>
      </c>
      <c r="C206" t="s">
        <v>8</v>
      </c>
      <c r="D206">
        <v>225</v>
      </c>
      <c r="E206" t="s">
        <v>9</v>
      </c>
      <c r="F206" t="s">
        <v>423</v>
      </c>
    </row>
    <row r="207" spans="1:6" x14ac:dyDescent="0.3">
      <c r="A207" t="s">
        <v>424</v>
      </c>
      <c r="B207">
        <f>94/50*225</f>
        <v>423</v>
      </c>
      <c r="C207" t="s">
        <v>8</v>
      </c>
      <c r="D207">
        <f>50/50*225</f>
        <v>225</v>
      </c>
      <c r="E207" t="s">
        <v>9</v>
      </c>
      <c r="F207" t="s">
        <v>426</v>
      </c>
    </row>
    <row r="208" spans="1:6" x14ac:dyDescent="0.3">
      <c r="A208" t="s">
        <v>425</v>
      </c>
      <c r="B208">
        <v>119</v>
      </c>
      <c r="C208" t="s">
        <v>8</v>
      </c>
      <c r="D208">
        <v>50</v>
      </c>
      <c r="E208" t="s">
        <v>9</v>
      </c>
      <c r="F208" t="s">
        <v>427</v>
      </c>
    </row>
  </sheetData>
  <pageMargins left="0.7" right="0.7" top="0.78740157499999996" bottom="0.78740157499999996" header="0.3" footer="0.3"/>
  <pageSetup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Universitätsklinikum Aachen AöR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Geci, Rene</dc:creator>
  <cp:lastModifiedBy>Geci, Rene</cp:lastModifiedBy>
  <dcterms:created xsi:type="dcterms:W3CDTF">2025-02-19T10:41:40Z</dcterms:created>
  <dcterms:modified xsi:type="dcterms:W3CDTF">2025-04-03T15:13:20Z</dcterms:modified>
</cp:coreProperties>
</file>